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ipeline" sheetId="3" state="visible" r:id="rId3"/>
    <sheet xmlns:r="http://schemas.openxmlformats.org/officeDocument/2006/relationships" name="Weekly Call Rot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8">
    <font>
      <name val="Calibri"/>
      <family val="2"/>
      <color theme="1"/>
      <sz val="11"/>
      <scheme val="minor"/>
    </font>
    <font>
      <name val="Arial"/>
      <b val="1"/>
      <color rgb="001F2933"/>
      <sz val="16"/>
    </font>
    <font>
      <name val="Arial"/>
      <i val="1"/>
      <color rgb="00616E7C"/>
      <sz val="10"/>
    </font>
    <font>
      <name val="Arial"/>
      <b val="1"/>
      <color rgb="001F2933"/>
      <sz val="11"/>
    </font>
    <font>
      <name val="Arial"/>
      <color rgb="001F2933"/>
      <sz val="10"/>
    </font>
    <font>
      <name val="Arial"/>
      <b val="1"/>
      <color rgb="00FFFFFF"/>
      <sz val="10"/>
    </font>
    <font>
      <name val="Arial"/>
      <b val="1"/>
      <color rgb="001F6F3F"/>
      <sz val="14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2E5266"/>
      </patternFill>
    </fill>
    <fill>
      <patternFill patternType="solid">
        <fgColor rgb="00F2F4F6"/>
      </patternFill>
    </fill>
    <fill>
      <patternFill patternType="solid">
        <fgColor rgb="00DCEBF7"/>
      </patternFill>
    </fill>
    <fill>
      <patternFill patternType="solid">
        <fgColor rgb="00FFFF99"/>
      </patternFill>
    </fill>
  </fills>
  <borders count="2">
    <border>
      <left/>
      <right/>
      <top/>
      <bottom/>
      <diagonal/>
    </border>
    <border>
      <left style="thin">
        <color rgb="00D3D9DE"/>
      </left>
      <right style="thin">
        <color rgb="00D3D9DE"/>
      </right>
      <top style="thin">
        <color rgb="00D3D9DE"/>
      </top>
      <bottom style="thin">
        <color rgb="00D3D9DE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4" fillId="0" borderId="1" pivotButton="0" quotePrefix="0" xfId="0"/>
    <xf numFmtId="0" fontId="4" fillId="3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/>
    </xf>
    <xf numFmtId="164" fontId="4" fillId="5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164" fontId="4" fillId="3" borderId="1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Metro Detroit Lead Gen System — Low-Voltage / Structured Cabling</t>
        </is>
      </c>
    </row>
    <row r="3">
      <c r="B3" s="2" t="inlineStr">
        <is>
          <t>Built Aug 2026 · working prospect + pipeline tracker, refreshed weekly</t>
        </is>
      </c>
    </row>
    <row r="5">
      <c r="B5" s="3" t="inlineStr">
        <is>
          <t>How this workbook works</t>
        </is>
      </c>
    </row>
    <row r="6" ht="30" customHeight="1">
      <c r="B6" s="4" t="inlineStr">
        <is>
          <t>•  Pipeline tab is the CRM you actually work from every day — every company you contact goes in there, one row each.</t>
        </is>
      </c>
    </row>
    <row r="7" ht="30" customHeight="1">
      <c r="B7" s="4" t="inlineStr">
        <is>
          <t>•  Lead Score and Likely Service Need (blue columns) are my judgment call, refreshed on the weekly research pass — not a formula. Score reflects conversion likelihood x deal size x access ease, and shifts based on which channels are actually converting for you (read from your Status column).</t>
        </is>
      </c>
    </row>
    <row r="8" ht="30" customHeight="1">
      <c r="B8" s="4" t="inlineStr">
        <is>
          <t>•  Weekly Call Rotation tells you which channel to call each day so outreach stays balanced instead of drifting to whatever's easiest.</t>
        </is>
      </c>
    </row>
    <row r="9" ht="30" customHeight="1">
      <c r="B9" s="4" t="inlineStr">
        <is>
          <t>•  Dashboard auto-counts your pipeline by status and tier from formulas — update Status in the Pipeline tab and it moves.</t>
        </is>
      </c>
    </row>
    <row r="10" ht="30" customHeight="1">
      <c r="B10" s="4" t="inlineStr">
        <is>
          <t>•  Yellow cells are the ones you fill in (contact name, phone, email, dates, notes). Blue cells are mine to maintain — leave them, I'll update them on each refresh. Don't overwrite the Dashboard formulas.</t>
        </is>
      </c>
    </row>
    <row r="11"/>
    <row r="12">
      <c r="B12" s="3" t="inlineStr">
        <is>
          <t>How the weekly refresh works (the 'learning' loop)</t>
        </is>
      </c>
    </row>
    <row r="13" ht="30" customHeight="1">
      <c r="B13" s="4" t="inlineStr">
        <is>
          <t>•  Every week I re-research the market for new signals — new PlanHub/Blue Book postings, new office leasing/repositioning news, new MSP hiring activity, new data-center vendor registration windows — and append newly-found, scored prospects to Pipeline.</t>
        </is>
      </c>
    </row>
    <row r="14" ht="30" customHeight="1">
      <c r="B14" s="4" t="inlineStr">
        <is>
          <t>•  I also read your logged Status/outcomes (Won, Lost, Quoted) from the past week. If a channel is converting, its future leads get scored higher and get more Weekly Call Rotation time; if a channel is going cold after real attempts, it gets deprioritized. This is the actual 'gets smarter over time' mechanism — it runs on your logged outcomes, not on the spreadsheet itself.</t>
        </is>
      </c>
    </row>
    <row r="15" ht="30" customHeight="1">
      <c r="B15" s="4" t="inlineStr">
        <is>
          <t>•  This only works if you log outcomes honestly as you go — an unworked lead sitting at 'Not Contacted' teaches the system nothing.</t>
        </is>
      </c>
    </row>
    <row r="16"/>
    <row r="17">
      <c r="B17" s="3" t="inlineStr">
        <is>
          <t>Why this targeting, in one paragraph</t>
        </is>
      </c>
    </row>
    <row r="18" ht="30" customHeight="1">
      <c r="B18" s="4" t="inlineStr">
        <is>
          <t>•  Metro Detroit's office market is bifurcating: buildings that invested in modern systems are leasing, buildings that didn't are sitting empty (CoStar/Newmark Detroit office reports, Q2 2026). That flight-to-quality drives tenant-improvement and repositioning work in existing Class A/B buildings — not ground-up construction. That's small-to-mid, solo-winnable cabling work, and it's why property managers, MSPs, and TI electrical contractors are Tier 1.</t>
        </is>
      </c>
    </row>
    <row r="19" ht="30" customHeight="1">
      <c r="B19" s="4" t="inlineStr">
        <is>
          <t>•  The hyperscale data-center wave (Saline Barn $16B groundbreaking June 1 2026, Lyon Township, Van Buren Township) is real and validates the Year 2-3 thesis, but these are union-GC megaprojects run by firms like Walbridge. A solo op doesn't walk onto those directly — you get in via staffing/integrator pipelines and certifications, built starting now. That's why it's Tier 3, not Tier 1.</t>
        </is>
      </c>
    </row>
    <row r="20" ht="30" customHeight="1">
      <c r="B20" s="4" t="inlineStr">
        <is>
          <t>•  At least 19 Michigan municipalities have data-center moratoriums in play (Bridge Michigan, 2026) — treat DC work as upside you're seeding, not revenue you're planning around this year.</t>
        </is>
      </c>
    </row>
    <row r="21"/>
    <row r="22">
      <c r="B22" s="3" t="inlineStr">
        <is>
          <t>Sources for the market read</t>
        </is>
      </c>
    </row>
    <row r="23" ht="30" customHeight="1">
      <c r="B23" s="4" t="inlineStr">
        <is>
          <t>•  ENR — 'Record $16B Data Center Project Advances in Michigan' (Saline Barn / Walbridge) — enr.com/articles/63087-record-16b-data-center-project-advances-in-michigan</t>
        </is>
      </c>
    </row>
    <row r="24" ht="30" customHeight="1">
      <c r="B24" s="4" t="inlineStr">
        <is>
          <t>•  Bridge Michigan — 'Data centers eyed in at least 10 Michigan towns' (moratoriums, Lyon Twp/Anthropic, Van Buren/Google) — bridgemi.com/michigan-environment-watch/data-centers-eyed-in-at-least-10-michigan-towns-how-they-might-change-state</t>
        </is>
      </c>
    </row>
    <row r="25" ht="30" customHeight="1">
      <c r="B25" s="4" t="inlineStr">
        <is>
          <t>•  Company contact details in Pipeline pulled directly from each company's own website, Aug 2026 — verify before high-stakes outreach since phone/staff info can change.</t>
        </is>
      </c>
    </row>
    <row r="26"/>
    <row r="27">
      <c r="B27" s="3" t="inlineStr">
        <is>
          <t>Weekly rhythm (ties to the launch plan's call rotation)</t>
        </is>
      </c>
    </row>
    <row r="28" ht="30" customHeight="1">
      <c r="B28" s="4" t="inlineStr">
        <is>
          <t>•  10 outbound calls/week minimum, weighted by the Weekly Call Rotation tab. Same-hour follow-up on anything warm: capabilities sheet + COI by email within the hour of a good call — see the Outreach Toolkit doc for the scripts and templates.</t>
        </is>
      </c>
    </row>
    <row r="29" ht="30" customHeight="1">
      <c r="B29" s="4" t="inlineStr">
        <is>
          <t>•  Friday = admin block: register/monitor bid boards, update Pipeline statuses, log the week's contacts so Dashboard numbers stay real and next week's refresh has something to learn from.</t>
        </is>
      </c>
    </row>
    <row r="30"/>
  </sheetData>
  <mergeCells count="28">
    <mergeCell ref="B7:I7"/>
    <mergeCell ref="B25:I25"/>
    <mergeCell ref="B16:I16"/>
    <mergeCell ref="B22:I22"/>
    <mergeCell ref="B27:I27"/>
    <mergeCell ref="B12:I12"/>
    <mergeCell ref="B18:I18"/>
    <mergeCell ref="B21:I21"/>
    <mergeCell ref="B11:I11"/>
    <mergeCell ref="B14:I14"/>
    <mergeCell ref="B23:I23"/>
    <mergeCell ref="B3:H3"/>
    <mergeCell ref="B8:I8"/>
    <mergeCell ref="B17:I17"/>
    <mergeCell ref="B13:I13"/>
    <mergeCell ref="B29:I29"/>
    <mergeCell ref="B10:I10"/>
    <mergeCell ref="B28:I28"/>
    <mergeCell ref="B2:H2"/>
    <mergeCell ref="B19:I19"/>
    <mergeCell ref="B9:I9"/>
    <mergeCell ref="B30:I30"/>
    <mergeCell ref="B15:I15"/>
    <mergeCell ref="B6:I6"/>
    <mergeCell ref="B24:I24"/>
    <mergeCell ref="B20:I20"/>
    <mergeCell ref="B5:I5"/>
    <mergeCell ref="B26:I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" customWidth="1" min="3" max="3"/>
    <col width="3" customWidth="1" min="4" max="4"/>
    <col width="10" customWidth="1" min="5" max="5"/>
    <col width="10" customWidth="1" min="6" max="6"/>
  </cols>
  <sheetData>
    <row r="2">
      <c r="B2" s="1" t="inlineStr">
        <is>
          <t>Pipeline Dashboard</t>
        </is>
      </c>
    </row>
    <row r="3">
      <c r="B3" s="2" t="inlineStr">
        <is>
          <t>Live counts pulled from the Pipeline tab — update Status there, these move automatically.</t>
        </is>
      </c>
    </row>
    <row r="6">
      <c r="B6" s="3" t="inlineStr">
        <is>
          <t>By Status</t>
        </is>
      </c>
      <c r="E6" s="3" t="inlineStr">
        <is>
          <t>By Tier</t>
        </is>
      </c>
    </row>
    <row r="7">
      <c r="B7" s="5" t="inlineStr">
        <is>
          <t>Status</t>
        </is>
      </c>
      <c r="C7" s="5" t="inlineStr">
        <is>
          <t>Count</t>
        </is>
      </c>
      <c r="E7" s="5" t="inlineStr">
        <is>
          <t>Tier</t>
        </is>
      </c>
      <c r="F7" s="5" t="inlineStr">
        <is>
          <t>Count</t>
        </is>
      </c>
    </row>
    <row r="8">
      <c r="B8" s="6" t="inlineStr">
        <is>
          <t>Not Contacted</t>
        </is>
      </c>
      <c r="C8" s="6">
        <f>COUNTIF(Pipeline!$K$6:$K$300,B8)</f>
        <v/>
      </c>
      <c r="E8" s="6" t="n">
        <v>1</v>
      </c>
      <c r="F8" s="6">
        <f>COUNTIF(Pipeline!$B$6:$B$300,E8)</f>
        <v/>
      </c>
    </row>
    <row r="9">
      <c r="B9" s="7" t="inlineStr">
        <is>
          <t>Contacted</t>
        </is>
      </c>
      <c r="C9" s="7">
        <f>COUNTIF(Pipeline!$K$6:$K$300,B9)</f>
        <v/>
      </c>
      <c r="E9" s="7" t="n">
        <v>2</v>
      </c>
      <c r="F9" s="7">
        <f>COUNTIF(Pipeline!$B$6:$B$300,E9)</f>
        <v/>
      </c>
    </row>
    <row r="10">
      <c r="B10" s="6" t="inlineStr">
        <is>
          <t>Follow-up Scheduled</t>
        </is>
      </c>
      <c r="C10" s="6">
        <f>COUNTIF(Pipeline!$K$6:$K$300,B10)</f>
        <v/>
      </c>
      <c r="E10" s="6" t="n">
        <v>3</v>
      </c>
      <c r="F10" s="6">
        <f>COUNTIF(Pipeline!$B$6:$B$300,E10)</f>
        <v/>
      </c>
    </row>
    <row r="11">
      <c r="B11" s="7" t="inlineStr">
        <is>
          <t>Quoted</t>
        </is>
      </c>
      <c r="C11" s="7">
        <f>COUNTIF(Pipeline!$K$6:$K$300,B11)</f>
        <v/>
      </c>
    </row>
    <row r="12">
      <c r="B12" s="6" t="inlineStr">
        <is>
          <t>Won</t>
        </is>
      </c>
      <c r="C12" s="6">
        <f>COUNTIF(Pipeline!$K$6:$K$300,B12)</f>
        <v/>
      </c>
    </row>
    <row r="13">
      <c r="B13" s="7" t="inlineStr">
        <is>
          <t>Lost</t>
        </is>
      </c>
      <c r="C13" s="7">
        <f>COUNTIF(Pipeline!$K$6:$K$300,B13)</f>
        <v/>
      </c>
    </row>
    <row r="15">
      <c r="B15" s="3" t="inlineStr">
        <is>
          <t>Total prospects in pipeline</t>
        </is>
      </c>
      <c r="C15" s="8">
        <f>COUNTA(Pipeline!$A$6:$A$300)</f>
        <v/>
      </c>
    </row>
    <row r="17">
      <c r="B17" s="9" t="inlineStr">
        <is>
          <t>Calls this week (Last Contact Date in last 7 days)</t>
        </is>
      </c>
      <c r="C17" s="8">
        <f>SUMPRODUCT((Pipeline!$J$6:$J$300&lt;&gt;"")*(Pipeline!$J$6:$J$300&gt;=TODAY()-7)*(Pipeline!$J$6:$J$300&lt;=TODAY()))</f>
        <v/>
      </c>
    </row>
    <row r="19">
      <c r="B19" s="9" t="inlineStr">
        <is>
          <t>Average Lead Score, open leads (Not Contacted/Contacted)</t>
        </is>
      </c>
      <c r="C19" s="8">
        <f>IFERROR(SUMPRODUCT(((Pipeline!$K$6:$K$300="Not Contacted")+(Pipeline!$K$6:$K$300="Contacted"))*Pipeline!$D$6:$D$300)/SUMPRODUCT(((Pipeline!$K$6:$K$300="Not Contacted")+(Pipeline!$K$6:$K$300="Contacted"))*1),0)</f>
        <v/>
      </c>
    </row>
  </sheetData>
  <mergeCells count="2">
    <mergeCell ref="B2:F2"/>
    <mergeCell ref="B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6" customWidth="1" min="3" max="3"/>
    <col width="12" customWidth="1" min="4" max="4"/>
    <col width="32" customWidth="1" min="5" max="5"/>
    <col width="16" customWidth="1" min="6" max="6"/>
    <col width="15" customWidth="1" min="7" max="7"/>
    <col width="22" customWidth="1" min="8" max="8"/>
    <col width="26" customWidth="1" min="9" max="9"/>
    <col width="14" customWidth="1" min="10" max="10"/>
    <col width="16" customWidth="1" min="11" max="11"/>
    <col width="26" customWidth="1" min="12" max="12"/>
    <col width="14" customWidth="1" min="13" max="13"/>
    <col width="40" customWidth="1" min="14" max="14"/>
  </cols>
  <sheetData>
    <row r="1">
      <c r="A1" s="1" t="inlineStr">
        <is>
          <t>Pipeline — Master Prospect Tracker</t>
        </is>
      </c>
    </row>
    <row r="2" ht="26" customHeight="1">
      <c r="A2" s="10" t="inlineStr">
        <is>
          <t>Log every company you actually contact here. Yellow = you fill in. Blue = I maintain on the weekly refresh, based on research + your logged outcomes.</t>
        </is>
      </c>
    </row>
    <row r="5">
      <c r="A5" s="11" t="inlineStr">
        <is>
          <t>Company</t>
        </is>
      </c>
      <c r="B5" s="11" t="inlineStr">
        <is>
          <t>Tier (1/2/3)</t>
        </is>
      </c>
      <c r="C5" s="11" t="inlineStr">
        <is>
          <t>Channel</t>
        </is>
      </c>
      <c r="D5" s="11" t="inlineStr">
        <is>
          <t>Lead Score (1-10)</t>
        </is>
      </c>
      <c r="E5" s="11" t="inlineStr">
        <is>
          <t>Likely Service Need</t>
        </is>
      </c>
      <c r="F5" s="11" t="inlineStr">
        <is>
          <t>Contact Name</t>
        </is>
      </c>
      <c r="G5" s="11" t="inlineStr">
        <is>
          <t>Phone</t>
        </is>
      </c>
      <c r="H5" s="11" t="inlineStr">
        <is>
          <t>Email</t>
        </is>
      </c>
      <c r="I5" s="11" t="inlineStr">
        <is>
          <t>Website</t>
        </is>
      </c>
      <c r="J5" s="11" t="inlineStr">
        <is>
          <t>Last Contact Date</t>
        </is>
      </c>
      <c r="K5" s="11" t="inlineStr">
        <is>
          <t>Status</t>
        </is>
      </c>
      <c r="L5" s="11" t="inlineStr">
        <is>
          <t>Next Action</t>
        </is>
      </c>
      <c r="M5" s="11" t="inlineStr">
        <is>
          <t>Next Action Date</t>
        </is>
      </c>
      <c r="N5" s="11" t="inlineStr">
        <is>
          <t>Notes</t>
        </is>
      </c>
    </row>
    <row r="6">
      <c r="A6" s="12" t="inlineStr">
        <is>
          <t>SunByrnes Properties &amp; Construction</t>
        </is>
      </c>
      <c r="B6" s="13" t="n">
        <v>1</v>
      </c>
      <c r="C6" s="13" t="inlineStr">
        <is>
          <t>Property Mgmt</t>
        </is>
      </c>
      <c r="D6" s="14" t="n">
        <v>6</v>
      </c>
      <c r="E6" s="15" t="inlineStr">
        <is>
          <t>TI cabling + recurring MACs across office/medical/retail portfolio</t>
        </is>
      </c>
      <c r="F6" s="16" t="inlineStr"/>
      <c r="G6" s="13" t="inlineStr">
        <is>
          <t>(586) 997-8500</t>
        </is>
      </c>
      <c r="H6" s="16" t="inlineStr"/>
      <c r="I6" s="13" t="inlineStr">
        <is>
          <t>sunbyrnes.com</t>
        </is>
      </c>
      <c r="J6" s="17" t="inlineStr"/>
      <c r="K6" s="13" t="inlineStr">
        <is>
          <t>Not Contacted</t>
        </is>
      </c>
      <c r="L6" s="12" t="inlineStr">
        <is>
          <t>Call: intro + capabilities sheet</t>
        </is>
      </c>
      <c r="M6" s="17" t="inlineStr"/>
      <c r="N6" s="12" t="inlineStr">
        <is>
          <t>Rochester Hills. Site notes they vet outside vendors for fit — lead with credentials and COI up front.</t>
        </is>
      </c>
    </row>
    <row r="7">
      <c r="A7" s="18" t="inlineStr">
        <is>
          <t>PMI Motor City</t>
        </is>
      </c>
      <c r="B7" s="19" t="n">
        <v>1</v>
      </c>
      <c r="C7" s="19" t="inlineStr">
        <is>
          <t>Property Mgmt</t>
        </is>
      </c>
      <c r="D7" s="19" t="n">
        <v>7</v>
      </c>
      <c r="E7" s="18" t="inlineStr">
        <is>
          <t>TI cabling + closet cleanups for office tenant turnover</t>
        </is>
      </c>
      <c r="F7" s="19" t="inlineStr"/>
      <c r="G7" s="19" t="inlineStr">
        <is>
          <t>248-270-5221</t>
        </is>
      </c>
      <c r="H7" s="19" t="inlineStr">
        <is>
          <t>info@pmimotorcity.com</t>
        </is>
      </c>
      <c r="I7" s="19" t="inlineStr">
        <is>
          <t>pmimotorcity.com</t>
        </is>
      </c>
      <c r="J7" s="20" t="inlineStr"/>
      <c r="K7" s="19" t="inlineStr">
        <is>
          <t>Not Contacted</t>
        </is>
      </c>
      <c r="L7" s="18" t="inlineStr">
        <is>
          <t>Call: intro + capabilities sheet</t>
        </is>
      </c>
      <c r="M7" s="20" t="inlineStr"/>
      <c r="N7" s="18" t="inlineStr">
        <is>
          <t>Clarkston. Specializes specifically in metro Detroit office buildings — smaller shop, easier to reach a decision-maker.</t>
        </is>
      </c>
    </row>
    <row r="8">
      <c r="A8" s="12" t="inlineStr">
        <is>
          <t>Farbman Group</t>
        </is>
      </c>
      <c r="B8" s="13" t="n">
        <v>1</v>
      </c>
      <c r="C8" s="13" t="inlineStr">
        <is>
          <t>Property Mgmt</t>
        </is>
      </c>
      <c r="D8" s="14" t="n">
        <v>8</v>
      </c>
      <c r="E8" s="15" t="inlineStr">
        <is>
          <t>Recurring MACs + TI cabling at volume across a 25M+ sqft portfolio</t>
        </is>
      </c>
      <c r="F8" s="16" t="inlineStr"/>
      <c r="G8" s="13" t="inlineStr">
        <is>
          <t>(248) 353-0500</t>
        </is>
      </c>
      <c r="H8" s="16" t="inlineStr"/>
      <c r="I8" s="13" t="inlineStr">
        <is>
          <t>farbman.com</t>
        </is>
      </c>
      <c r="J8" s="17" t="inlineStr"/>
      <c r="K8" s="13" t="inlineStr">
        <is>
          <t>Not Contacted</t>
        </is>
      </c>
      <c r="L8" s="12" t="inlineStr">
        <is>
          <t>Call: intro + capabilities sheet</t>
        </is>
      </c>
      <c r="M8" s="17" t="inlineStr"/>
      <c r="N8" s="12" t="inlineStr">
        <is>
          <t>Detroit + Farmington Hills offices. Highest volume potential in this tier; expect more gatekeeping to reach the right facilities contact.</t>
        </is>
      </c>
    </row>
    <row r="9">
      <c r="A9" s="18" t="inlineStr">
        <is>
          <t>JMZ Management</t>
        </is>
      </c>
      <c r="B9" s="19" t="n">
        <v>1</v>
      </c>
      <c r="C9" s="19" t="inlineStr">
        <is>
          <t>Property Mgmt</t>
        </is>
      </c>
      <c r="D9" s="19" t="n">
        <v>6</v>
      </c>
      <c r="E9" s="18" t="inlineStr">
        <is>
          <t>Office/commercial MACs, smaller deal size per site</t>
        </is>
      </c>
      <c r="F9" s="19" t="inlineStr"/>
      <c r="G9" s="19" t="inlineStr">
        <is>
          <t>248-284-6990</t>
        </is>
      </c>
      <c r="H9" s="19" t="inlineStr"/>
      <c r="I9" s="19" t="inlineStr">
        <is>
          <t>jmzmanagement.com</t>
        </is>
      </c>
      <c r="J9" s="20" t="inlineStr"/>
      <c r="K9" s="19" t="inlineStr">
        <is>
          <t>Not Contacted</t>
        </is>
      </c>
      <c r="L9" s="18" t="inlineStr">
        <is>
          <t>Call: intro + capabilities sheet</t>
        </is>
      </c>
      <c r="M9" s="20" t="inlineStr"/>
      <c r="N9" s="18" t="inlineStr">
        <is>
          <t>Novi. 1,000+ properties SE Michigan, residential + commercial mix.</t>
        </is>
      </c>
    </row>
    <row r="10">
      <c r="A10" s="12" t="inlineStr">
        <is>
          <t>Colliers Detroit Office Agency Team</t>
        </is>
      </c>
      <c r="B10" s="13" t="n">
        <v>1</v>
      </c>
      <c r="C10" s="13" t="inlineStr">
        <is>
          <t>CRE Broker</t>
        </is>
      </c>
      <c r="D10" s="14" t="n">
        <v>5</v>
      </c>
      <c r="E10" s="15" t="inlineStr">
        <is>
          <t>Referral intel only — not a direct cabling buyer</t>
        </is>
      </c>
      <c r="F10" s="16" t="inlineStr"/>
      <c r="G10" s="13" t="inlineStr"/>
      <c r="H10" s="16" t="inlineStr"/>
      <c r="I10" s="13" t="inlineStr">
        <is>
          <t>colliers.com</t>
        </is>
      </c>
      <c r="J10" s="17" t="inlineStr"/>
      <c r="K10" s="13" t="inlineStr">
        <is>
          <t>Not Contacted</t>
        </is>
      </c>
      <c r="L10" s="12" t="inlineStr">
        <is>
          <t>Call: ask who's re-tenanting/repositioning</t>
        </is>
      </c>
      <c r="M10" s="17" t="inlineStr"/>
      <c r="N10" s="12" t="inlineStr">
        <is>
          <t>Royal Oak/Birmingham/Ann Arbor. Landlord rep team — knows which buildings are being repositioned before it's public.</t>
        </is>
      </c>
    </row>
    <row r="11">
      <c r="A11" s="18" t="inlineStr">
        <is>
          <t>CBRE Detroit</t>
        </is>
      </c>
      <c r="B11" s="19" t="n">
        <v>1</v>
      </c>
      <c r="C11" s="19" t="inlineStr">
        <is>
          <t>CRE Broker</t>
        </is>
      </c>
      <c r="D11" s="19" t="n">
        <v>6</v>
      </c>
      <c r="E11" s="18" t="inlineStr">
        <is>
          <t>PM division = direct TI/MAC buyer; brokerage side = referral intel</t>
        </is>
      </c>
      <c r="F11" s="19" t="inlineStr"/>
      <c r="G11" s="19" t="inlineStr"/>
      <c r="H11" s="19" t="inlineStr"/>
      <c r="I11" s="19" t="inlineStr">
        <is>
          <t>cbre.com/offices/corporate/detroit</t>
        </is>
      </c>
      <c r="J11" s="20" t="inlineStr"/>
      <c r="K11" s="19" t="inlineStr">
        <is>
          <t>Not Contacted</t>
        </is>
      </c>
      <c r="L11" s="18" t="inlineStr">
        <is>
          <t>Call: ask who's re-tenanting/repositioning</t>
        </is>
      </c>
      <c r="M11" s="20" t="inlineStr"/>
      <c r="N11" s="18" t="inlineStr">
        <is>
          <t>Southfield office. Dual-purpose contact — ask for both property management and leasing.</t>
        </is>
      </c>
    </row>
    <row r="12">
      <c r="A12" s="12" t="inlineStr">
        <is>
          <t>JLL Detroit</t>
        </is>
      </c>
      <c r="B12" s="13" t="n">
        <v>1</v>
      </c>
      <c r="C12" s="13" t="inlineStr">
        <is>
          <t>CRE Broker</t>
        </is>
      </c>
      <c r="D12" s="14" t="n">
        <v>6</v>
      </c>
      <c r="E12" s="15" t="inlineStr">
        <is>
          <t>PM division = direct TI/MAC buyer; brokerage side = referral intel</t>
        </is>
      </c>
      <c r="F12" s="16" t="inlineStr"/>
      <c r="G12" s="13" t="inlineStr"/>
      <c r="H12" s="16" t="inlineStr"/>
      <c r="I12" s="13" t="inlineStr">
        <is>
          <t>us.jll.com/en/locations/midwest/detroit</t>
        </is>
      </c>
      <c r="J12" s="17" t="inlineStr"/>
      <c r="K12" s="13" t="inlineStr">
        <is>
          <t>Not Contacted</t>
        </is>
      </c>
      <c r="L12" s="12" t="inlineStr">
        <is>
          <t>Call: ask who's re-tenanting/repositioning</t>
        </is>
      </c>
      <c r="M12" s="17" t="inlineStr"/>
      <c r="N12" s="12" t="inlineStr">
        <is>
          <t>Leasing + property management across metro Detroit.</t>
        </is>
      </c>
    </row>
    <row r="13">
      <c r="A13" s="18" t="inlineStr">
        <is>
          <t>AdRem Systems Corporation</t>
        </is>
      </c>
      <c r="B13" s="19" t="n">
        <v>1</v>
      </c>
      <c r="C13" s="19" t="inlineStr">
        <is>
          <t>MSP</t>
        </is>
      </c>
      <c r="D13" s="19" t="n">
        <v>8</v>
      </c>
      <c r="E13" s="18" t="inlineStr">
        <is>
          <t>Cabling subcontract for their client base (network support/outsourcing clients)</t>
        </is>
      </c>
      <c r="F13" s="19" t="inlineStr"/>
      <c r="G13" s="19" t="inlineStr"/>
      <c r="H13" s="19" t="inlineStr"/>
      <c r="I13" s="19" t="inlineStr">
        <is>
          <t>adrem.com</t>
        </is>
      </c>
      <c r="J13" s="20" t="inlineStr"/>
      <c r="K13" s="19" t="inlineStr">
        <is>
          <t>Not Contacted</t>
        </is>
      </c>
      <c r="L13" s="18" t="inlineStr">
        <is>
          <t>Call: intro, cabling sub for their clients</t>
        </is>
      </c>
      <c r="M13" s="20" t="inlineStr"/>
      <c r="N13" s="18" t="inlineStr">
        <is>
          <t>Detroit-focused MSP, 21 yrs. MSPs are the highest-conversion channel — they hate pulling cable.</t>
        </is>
      </c>
    </row>
    <row r="14">
      <c r="A14" s="12" t="inlineStr">
        <is>
          <t>Macro Connect</t>
        </is>
      </c>
      <c r="B14" s="13" t="n">
        <v>1</v>
      </c>
      <c r="C14" s="13" t="inlineStr">
        <is>
          <t>MSP</t>
        </is>
      </c>
      <c r="D14" s="14" t="n">
        <v>7</v>
      </c>
      <c r="E14" s="15" t="inlineStr">
        <is>
          <t>Cabling subcontract + possible E-Rate school cabling overlap</t>
        </is>
      </c>
      <c r="F14" s="16" t="inlineStr"/>
      <c r="G14" s="13" t="inlineStr"/>
      <c r="H14" s="16" t="inlineStr"/>
      <c r="I14" s="13" t="inlineStr">
        <is>
          <t>macroconnect.net</t>
        </is>
      </c>
      <c r="J14" s="17" t="inlineStr"/>
      <c r="K14" s="13" t="inlineStr">
        <is>
          <t>Not Contacted</t>
        </is>
      </c>
      <c r="L14" s="12" t="inlineStr">
        <is>
          <t>Call: intro, cabling sub for their clients</t>
        </is>
      </c>
      <c r="M14" s="17" t="inlineStr"/>
      <c r="N14" s="12" t="inlineStr">
        <is>
          <t>Detroit MSP since 1997. Schools + small business focus.</t>
        </is>
      </c>
    </row>
    <row r="15">
      <c r="A15" s="18" t="inlineStr">
        <is>
          <t>Clutch.co Detroit MSP directory (Realnets, Vista IT Group, Applied Tech, CETech, etc.)</t>
        </is>
      </c>
      <c r="B15" s="19" t="n">
        <v>1</v>
      </c>
      <c r="C15" s="19" t="inlineStr">
        <is>
          <t>MSP</t>
        </is>
      </c>
      <c r="D15" s="19" t="n">
        <v>6</v>
      </c>
      <c r="E15" s="18" t="inlineStr">
        <is>
          <t>Sourcing list, not a single lead — mine for more MSP contacts</t>
        </is>
      </c>
      <c r="F15" s="19" t="inlineStr"/>
      <c r="G15" s="19" t="inlineStr"/>
      <c r="H15" s="19" t="inlineStr"/>
      <c r="I15" s="19" t="inlineStr">
        <is>
          <t>clutch.co/it-services/msp/detroit</t>
        </is>
      </c>
      <c r="J15" s="20" t="inlineStr"/>
      <c r="K15" s="19" t="inlineStr">
        <is>
          <t>Not Contacted</t>
        </is>
      </c>
      <c r="L15" s="18" t="inlineStr">
        <is>
          <t>Work the list — 10+ more MSPs to call</t>
        </is>
      </c>
      <c r="M15" s="20" t="inlineStr"/>
      <c r="N15" s="18" t="inlineStr">
        <is>
          <t>Ranked directory — use to keep expanding the MSP call list past the two named above.</t>
        </is>
      </c>
    </row>
    <row r="16">
      <c r="A16" s="12" t="inlineStr">
        <is>
          <t>Pacer Staffing (Pacer Group)</t>
        </is>
      </c>
      <c r="B16" s="13" t="n">
        <v>3</v>
      </c>
      <c r="C16" s="13" t="inlineStr">
        <is>
          <t>DC Integrator/Staffing</t>
        </is>
      </c>
      <c r="D16" s="14" t="n">
        <v>5</v>
      </c>
      <c r="E16" s="15" t="inlineStr">
        <is>
          <t>Low-voltage/structured cabling tech roles on hyperscale builds — Year 2+ revenue</t>
        </is>
      </c>
      <c r="F16" s="16" t="inlineStr"/>
      <c r="G16" s="13" t="inlineStr">
        <is>
          <t>+1 (215) 666-0012</t>
        </is>
      </c>
      <c r="H16" s="16" t="inlineStr">
        <is>
          <t>Info@pacerstaffing.com</t>
        </is>
      </c>
      <c r="I16" s="13" t="inlineStr">
        <is>
          <t>thepacer.com/data-center-staffing-solutions</t>
        </is>
      </c>
      <c r="J16" s="17" t="inlineStr"/>
      <c r="K16" s="13" t="inlineStr">
        <is>
          <t>Not Contacted</t>
        </is>
      </c>
      <c r="L16" s="12" t="inlineStr">
        <is>
          <t>Register as low-voltage/cabling sub for MI projects</t>
        </is>
      </c>
      <c r="M16" s="17" t="inlineStr"/>
      <c r="N16" s="12" t="inlineStr">
        <is>
          <t>National data-center staffing firm, explicitly lists low-voltage techs &amp; cabling specialists. Get on file now for Saline Barn/Lyon Twp/Van Buren buildout.</t>
        </is>
      </c>
    </row>
    <row r="17">
      <c r="A17" s="18" t="inlineStr">
        <is>
          <t>Walbridge</t>
        </is>
      </c>
      <c r="B17" s="19" t="n">
        <v>3</v>
      </c>
      <c r="C17" s="19" t="inlineStr">
        <is>
          <t>DC Integrator/Staffing</t>
        </is>
      </c>
      <c r="D17" s="19" t="n">
        <v>4</v>
      </c>
      <c r="E17" s="18" t="inlineStr">
        <is>
          <t>Future sub/vendor registration for DC low-voltage packages</t>
        </is>
      </c>
      <c r="F17" s="19" t="inlineStr"/>
      <c r="G17" s="19" t="inlineStr"/>
      <c r="H17" s="19" t="inlineStr"/>
      <c r="I17" s="19" t="inlineStr">
        <is>
          <t>walbridge.com</t>
        </is>
      </c>
      <c r="J17" s="20" t="inlineStr"/>
      <c r="K17" s="19" t="inlineStr">
        <is>
          <t>Not Contacted</t>
        </is>
      </c>
      <c r="L17" s="18" t="inlineStr">
        <is>
          <t>Find sub/vendor registration portal</t>
        </is>
      </c>
      <c r="M17" s="20" t="inlineStr"/>
      <c r="N17" s="18" t="inlineStr">
        <is>
          <t>Detroit GC running the $16B Saline Barn build. Long-game relationship, not a Year-1 win.</t>
        </is>
      </c>
    </row>
    <row r="18">
      <c r="A18" s="12" t="inlineStr">
        <is>
          <t>Leviton / CommScope / Panduit / Corning (via ADI rep)</t>
        </is>
      </c>
      <c r="B18" s="13" t="n">
        <v>1</v>
      </c>
      <c r="C18" s="13" t="inlineStr">
        <is>
          <t>Vendor Program</t>
        </is>
      </c>
      <c r="D18" s="14" t="n">
        <v>6</v>
      </c>
      <c r="E18" s="15" t="inlineStr">
        <is>
          <t>Certified-installer status unlocks warranty-referral jobs</t>
        </is>
      </c>
      <c r="F18" s="16" t="inlineStr"/>
      <c r="G18" s="13" t="inlineStr"/>
      <c r="H18" s="16" t="inlineStr"/>
      <c r="I18" s="13" t="inlineStr"/>
      <c r="J18" s="17" t="inlineStr"/>
      <c r="K18" s="13" t="inlineStr">
        <is>
          <t>Not Contacted</t>
        </is>
      </c>
      <c r="L18" s="12" t="inlineStr">
        <is>
          <t>Ask ADI rep about certified-installer enrollment</t>
        </is>
      </c>
      <c r="M18" s="17" t="inlineStr"/>
      <c r="N18" s="12" t="inlineStr">
        <is>
          <t>Certified-installer status lets you bid jobs that require a certified installer of record.</t>
        </is>
      </c>
    </row>
    <row r="19">
      <c r="A19" s="18" t="inlineStr">
        <is>
          <t>Verkada / Ubiquiti dealer programs</t>
        </is>
      </c>
      <c r="B19" s="19" t="n">
        <v>2</v>
      </c>
      <c r="C19" s="19" t="inlineStr">
        <is>
          <t>Vendor Program</t>
        </is>
      </c>
      <c r="D19" s="19" t="n">
        <v>5</v>
      </c>
      <c r="E19" s="18" t="inlineStr">
        <is>
          <t>Installer-program referrals for camera/network install jobs</t>
        </is>
      </c>
      <c r="F19" s="19" t="inlineStr"/>
      <c r="G19" s="19" t="inlineStr"/>
      <c r="H19" s="19" t="inlineStr"/>
      <c r="I19" s="19" t="inlineStr"/>
      <c r="J19" s="20" t="inlineStr"/>
      <c r="K19" s="19" t="inlineStr">
        <is>
          <t>Not Contacted</t>
        </is>
      </c>
      <c r="L19" s="18" t="inlineStr">
        <is>
          <t>Apply for installer/dealer program</t>
        </is>
      </c>
      <c r="M19" s="20" t="inlineStr"/>
      <c r="N19" s="18" t="inlineStr">
        <is>
          <t>Camera/network vendors route small install jobs to registered installers in-territory.</t>
        </is>
      </c>
    </row>
    <row r="20">
      <c r="A20" s="12" t="inlineStr">
        <is>
          <t>Field Nation</t>
        </is>
      </c>
      <c r="B20" s="13" t="n">
        <v>2</v>
      </c>
      <c r="C20" s="13" t="inlineStr">
        <is>
          <t>Platform</t>
        </is>
      </c>
      <c r="D20" s="14" t="n">
        <v>7</v>
      </c>
      <c r="E20" s="15" t="inlineStr">
        <is>
          <t>Paid calibration jobs; unlocks cabling project visibility once qualified</t>
        </is>
      </c>
      <c r="F20" s="16" t="inlineStr"/>
      <c r="G20" s="13" t="inlineStr"/>
      <c r="H20" s="16" t="inlineStr"/>
      <c r="I20" s="13" t="inlineStr">
        <is>
          <t>fieldnation.com/signup</t>
        </is>
      </c>
      <c r="J20" s="17" t="inlineStr"/>
      <c r="K20" s="13" t="inlineStr">
        <is>
          <t>Not Contacted</t>
        </is>
      </c>
      <c r="L20" s="12" t="inlineStr">
        <is>
          <t>Complete technician signup, list cabling skills</t>
        </is>
      </c>
      <c r="M20" s="17" t="inlineStr"/>
      <c r="N20" s="12" t="inlineStr">
        <is>
          <t>Requires completed work orders in last 3 months in a skill to unlock cabling project visibility — take early low-tier jobs to qualify.</t>
        </is>
      </c>
    </row>
    <row r="21">
      <c r="A21" s="18" t="inlineStr">
        <is>
          <t>WorkMarket</t>
        </is>
      </c>
      <c r="B21" s="19" t="n">
        <v>2</v>
      </c>
      <c r="C21" s="19" t="inlineStr">
        <is>
          <t>Platform</t>
        </is>
      </c>
      <c r="D21" s="19" t="n">
        <v>6</v>
      </c>
      <c r="E21" s="18" t="inlineStr">
        <is>
          <t>Second labor marketplace — run in parallel with Field Nation</t>
        </is>
      </c>
      <c r="F21" s="19" t="inlineStr"/>
      <c r="G21" s="19" t="inlineStr"/>
      <c r="H21" s="19" t="inlineStr"/>
      <c r="I21" s="19" t="inlineStr">
        <is>
          <t>workmarket.com</t>
        </is>
      </c>
      <c r="J21" s="20" t="inlineStr"/>
      <c r="K21" s="19" t="inlineStr">
        <is>
          <t>Not Contacted</t>
        </is>
      </c>
      <c r="L21" s="18" t="inlineStr">
        <is>
          <t>Complete technician signup</t>
        </is>
      </c>
      <c r="M21" s="20" t="inlineStr"/>
      <c r="N21" s="18" t="inlineStr"/>
    </row>
    <row r="22">
      <c r="A22" s="12" t="inlineStr">
        <is>
          <t>The Blue Book Network</t>
        </is>
      </c>
      <c r="B22" s="13" t="n">
        <v>2</v>
      </c>
      <c r="C22" s="13" t="inlineStr">
        <is>
          <t>Bid Board</t>
        </is>
      </c>
      <c r="D22" s="14" t="n">
        <v>5</v>
      </c>
      <c r="E22" s="15" t="inlineStr">
        <is>
          <t>Passive lead gen — GCs search this to find subs</t>
        </is>
      </c>
      <c r="F22" s="16" t="inlineStr"/>
      <c r="G22" s="13" t="inlineStr"/>
      <c r="H22" s="16" t="inlineStr"/>
      <c r="I22" s="13" t="inlineStr">
        <is>
          <t>thebluebook.com</t>
        </is>
      </c>
      <c r="J22" s="17" t="inlineStr"/>
      <c r="K22" s="13" t="inlineStr">
        <is>
          <t>Not Contacted</t>
        </is>
      </c>
      <c r="L22" s="12" t="inlineStr">
        <is>
          <t>Create free contractor listing</t>
        </is>
      </c>
      <c r="M22" s="17" t="inlineStr"/>
      <c r="N22" s="12" t="inlineStr">
        <is>
          <t>Free. One-afternoon task.</t>
        </is>
      </c>
    </row>
    <row r="23">
      <c r="A23" s="18" t="inlineStr">
        <is>
          <t>PlanHub</t>
        </is>
      </c>
      <c r="B23" s="19" t="n">
        <v>2</v>
      </c>
      <c r="C23" s="19" t="inlineStr">
        <is>
          <t>Bid Board</t>
        </is>
      </c>
      <c r="D23" s="19" t="n">
        <v>6</v>
      </c>
      <c r="E23" s="18" t="inlineStr">
        <is>
          <t>Electrical/low-voltage subcontract bid opportunities</t>
        </is>
      </c>
      <c r="F23" s="19" t="inlineStr"/>
      <c r="G23" s="19" t="inlineStr"/>
      <c r="H23" s="19" t="inlineStr"/>
      <c r="I23" s="19" t="inlineStr">
        <is>
          <t>planhub.com</t>
        </is>
      </c>
      <c r="J23" s="20" t="inlineStr"/>
      <c r="K23" s="19" t="inlineStr">
        <is>
          <t>Not Contacted</t>
        </is>
      </c>
      <c r="L23" s="18" t="inlineStr">
        <is>
          <t>Register, watch for electrical/low-voltage packages</t>
        </is>
      </c>
      <c r="M23" s="20" t="inlineStr"/>
      <c r="N23" s="18" t="inlineStr">
        <is>
          <t>GCs post plans here — more winnable than government bid boards for a new solo op.</t>
        </is>
      </c>
    </row>
    <row r="24">
      <c r="A24" s="12" t="inlineStr">
        <is>
          <t>ConstructConnect / Dodge</t>
        </is>
      </c>
      <c r="B24" s="13" t="n">
        <v>2</v>
      </c>
      <c r="C24" s="13" t="inlineStr">
        <is>
          <t>Bid Board</t>
        </is>
      </c>
      <c r="D24" s="14" t="n">
        <v>4</v>
      </c>
      <c r="E24" s="15" t="inlineStr">
        <is>
          <t>Higher-value bid leads, paid plan room</t>
        </is>
      </c>
      <c r="F24" s="16" t="inlineStr"/>
      <c r="G24" s="13" t="inlineStr"/>
      <c r="H24" s="16" t="inlineStr"/>
      <c r="I24" s="13" t="inlineStr">
        <is>
          <t>constructconnect.com</t>
        </is>
      </c>
      <c r="J24" s="17" t="inlineStr"/>
      <c r="K24" s="13" t="inlineStr">
        <is>
          <t>Not Contacted</t>
        </is>
      </c>
      <c r="L24" s="12" t="inlineStr">
        <is>
          <t>Evaluate paid plan-room subscription</t>
        </is>
      </c>
      <c r="M24" s="17" t="inlineStr"/>
      <c r="N24" s="12" t="inlineStr">
        <is>
          <t>Worth revisiting once cash flow supports it.</t>
        </is>
      </c>
    </row>
    <row r="25">
      <c r="A25" s="18" t="inlineStr">
        <is>
          <t>MITN / BidNet (Michigan municipal)</t>
        </is>
      </c>
      <c r="B25" s="19" t="n">
        <v>2</v>
      </c>
      <c r="C25" s="19" t="inlineStr">
        <is>
          <t>Bid Board</t>
        </is>
      </c>
      <c r="D25" s="19" t="n">
        <v>3</v>
      </c>
      <c r="E25" s="18" t="inlineStr">
        <is>
          <t>Municipal bids incl. E-Rate school cabling</t>
        </is>
      </c>
      <c r="F25" s="19" t="inlineStr"/>
      <c r="G25" s="19" t="inlineStr"/>
      <c r="H25" s="19" t="inlineStr"/>
      <c r="I25" s="19" t="inlineStr">
        <is>
          <t>bidnetdirect.com/mitn</t>
        </is>
      </c>
      <c r="J25" s="20" t="inlineStr"/>
      <c r="K25" s="19" t="inlineStr">
        <is>
          <t>Not Contacted</t>
        </is>
      </c>
      <c r="L25" s="18" t="inlineStr">
        <is>
          <t>Register (free)</t>
        </is>
      </c>
      <c r="M25" s="20" t="inlineStr"/>
      <c r="N25" s="18" t="inlineStr">
        <is>
          <t>Hard to win as a brand-new solo op without past performance — register and watch.</t>
        </is>
      </c>
    </row>
    <row r="26">
      <c r="A26" s="12" t="inlineStr">
        <is>
          <t>SIGMA — State of Michigan vendor registration</t>
        </is>
      </c>
      <c r="B26" s="13" t="n">
        <v>2</v>
      </c>
      <c r="C26" s="13" t="inlineStr">
        <is>
          <t>Bid Board</t>
        </is>
      </c>
      <c r="D26" s="14" t="n">
        <v>3</v>
      </c>
      <c r="E26" s="15" t="inlineStr">
        <is>
          <t>State contract eligibility, long game</t>
        </is>
      </c>
      <c r="F26" s="16" t="inlineStr"/>
      <c r="G26" s="13" t="inlineStr"/>
      <c r="H26" s="16" t="inlineStr"/>
      <c r="I26" s="13" t="inlineStr">
        <is>
          <t>sigma.michigan.gov</t>
        </is>
      </c>
      <c r="J26" s="17" t="inlineStr"/>
      <c r="K26" s="13" t="inlineStr">
        <is>
          <t>Not Contacted</t>
        </is>
      </c>
      <c r="L26" s="12" t="inlineStr">
        <is>
          <t>Register as vendor</t>
        </is>
      </c>
      <c r="M26" s="17" t="inlineStr"/>
      <c r="N26" s="12" t="inlineStr">
        <is>
          <t>Register and monitor; don't depend on it for Year 1 revenue.</t>
        </is>
      </c>
    </row>
    <row r="27">
      <c r="A27" s="18" t="inlineStr">
        <is>
          <t>SAM.gov (federal)</t>
        </is>
      </c>
      <c r="B27" s="19" t="n">
        <v>2</v>
      </c>
      <c r="C27" s="19" t="inlineStr">
        <is>
          <t>Bid Board</t>
        </is>
      </c>
      <c r="D27" s="19" t="n">
        <v>2</v>
      </c>
      <c r="E27" s="18" t="inlineStr">
        <is>
          <t>Federal contracting eligibility, Year 2+ channel</t>
        </is>
      </c>
      <c r="F27" s="19" t="inlineStr"/>
      <c r="G27" s="19" t="inlineStr"/>
      <c r="H27" s="19" t="inlineStr"/>
      <c r="I27" s="19" t="inlineStr">
        <is>
          <t>sam.gov</t>
        </is>
      </c>
      <c r="J27" s="20" t="inlineStr"/>
      <c r="K27" s="19" t="inlineStr">
        <is>
          <t>Not Contacted</t>
        </is>
      </c>
      <c r="L27" s="18" t="inlineStr">
        <is>
          <t>Get UEI number, register</t>
        </is>
      </c>
      <c r="M27" s="20" t="inlineStr"/>
      <c r="N27" s="18" t="inlineStr">
        <is>
          <t>UEI issuance can take time — register early even though this is a long-term play.</t>
        </is>
      </c>
    </row>
    <row r="28">
      <c r="D28" s="21" t="n"/>
      <c r="E28" s="21" t="n"/>
      <c r="F28" s="22" t="n"/>
      <c r="H28" s="22" t="n"/>
      <c r="J28" s="23" t="n"/>
      <c r="M28" s="23" t="n"/>
    </row>
    <row r="29">
      <c r="D29" s="21" t="n"/>
      <c r="E29" s="21" t="n"/>
      <c r="F29" s="22" t="n"/>
      <c r="H29" s="22" t="n"/>
      <c r="J29" s="23" t="n"/>
      <c r="M29" s="23" t="n"/>
    </row>
    <row r="30">
      <c r="D30" s="21" t="n"/>
      <c r="E30" s="21" t="n"/>
      <c r="F30" s="22" t="n"/>
      <c r="H30" s="22" t="n"/>
      <c r="J30" s="23" t="n"/>
      <c r="M30" s="23" t="n"/>
    </row>
    <row r="31">
      <c r="D31" s="21" t="n"/>
      <c r="E31" s="21" t="n"/>
      <c r="F31" s="22" t="n"/>
      <c r="H31" s="22" t="n"/>
      <c r="J31" s="23" t="n"/>
      <c r="M31" s="23" t="n"/>
    </row>
    <row r="32">
      <c r="D32" s="21" t="n"/>
      <c r="E32" s="21" t="n"/>
      <c r="F32" s="22" t="n"/>
      <c r="H32" s="22" t="n"/>
      <c r="J32" s="23" t="n"/>
      <c r="M32" s="23" t="n"/>
    </row>
    <row r="33">
      <c r="D33" s="21" t="n"/>
      <c r="E33" s="21" t="n"/>
      <c r="F33" s="22" t="n"/>
      <c r="H33" s="22" t="n"/>
      <c r="J33" s="23" t="n"/>
      <c r="M33" s="23" t="n"/>
    </row>
    <row r="34">
      <c r="D34" s="21" t="n"/>
      <c r="E34" s="21" t="n"/>
      <c r="F34" s="22" t="n"/>
      <c r="H34" s="22" t="n"/>
      <c r="J34" s="23" t="n"/>
      <c r="M34" s="23" t="n"/>
    </row>
    <row r="35">
      <c r="D35" s="21" t="n"/>
      <c r="E35" s="21" t="n"/>
      <c r="F35" s="22" t="n"/>
      <c r="H35" s="22" t="n"/>
      <c r="J35" s="23" t="n"/>
      <c r="M35" s="23" t="n"/>
    </row>
    <row r="36">
      <c r="D36" s="21" t="n"/>
      <c r="E36" s="21" t="n"/>
      <c r="F36" s="22" t="n"/>
      <c r="H36" s="22" t="n"/>
      <c r="J36" s="23" t="n"/>
      <c r="M36" s="23" t="n"/>
    </row>
    <row r="37">
      <c r="D37" s="21" t="n"/>
      <c r="E37" s="21" t="n"/>
      <c r="F37" s="22" t="n"/>
      <c r="H37" s="22" t="n"/>
      <c r="J37" s="23" t="n"/>
      <c r="M37" s="23" t="n"/>
    </row>
    <row r="38">
      <c r="D38" s="21" t="n"/>
      <c r="E38" s="21" t="n"/>
      <c r="F38" s="22" t="n"/>
      <c r="H38" s="22" t="n"/>
      <c r="J38" s="23" t="n"/>
      <c r="M38" s="23" t="n"/>
    </row>
    <row r="39">
      <c r="D39" s="21" t="n"/>
      <c r="E39" s="21" t="n"/>
      <c r="F39" s="22" t="n"/>
      <c r="H39" s="22" t="n"/>
      <c r="J39" s="23" t="n"/>
      <c r="M39" s="23" t="n"/>
    </row>
    <row r="40">
      <c r="D40" s="21" t="n"/>
      <c r="E40" s="21" t="n"/>
      <c r="F40" s="22" t="n"/>
      <c r="H40" s="22" t="n"/>
      <c r="J40" s="23" t="n"/>
      <c r="M40" s="23" t="n"/>
    </row>
    <row r="41">
      <c r="D41" s="21" t="n"/>
      <c r="E41" s="21" t="n"/>
      <c r="F41" s="22" t="n"/>
      <c r="H41" s="22" t="n"/>
      <c r="J41" s="23" t="n"/>
      <c r="M41" s="23" t="n"/>
    </row>
    <row r="42">
      <c r="D42" s="21" t="n"/>
      <c r="E42" s="21" t="n"/>
      <c r="F42" s="22" t="n"/>
      <c r="H42" s="22" t="n"/>
      <c r="J42" s="23" t="n"/>
      <c r="M42" s="23" t="n"/>
    </row>
    <row r="43">
      <c r="D43" s="21" t="n"/>
      <c r="E43" s="21" t="n"/>
      <c r="F43" s="22" t="n"/>
      <c r="H43" s="22" t="n"/>
      <c r="J43" s="23" t="n"/>
      <c r="M43" s="23" t="n"/>
    </row>
    <row r="44">
      <c r="D44" s="21" t="n"/>
      <c r="E44" s="21" t="n"/>
      <c r="F44" s="22" t="n"/>
      <c r="H44" s="22" t="n"/>
      <c r="J44" s="23" t="n"/>
      <c r="M44" s="23" t="n"/>
    </row>
    <row r="45">
      <c r="D45" s="21" t="n"/>
      <c r="E45" s="21" t="n"/>
      <c r="F45" s="22" t="n"/>
      <c r="H45" s="22" t="n"/>
      <c r="J45" s="23" t="n"/>
      <c r="M45" s="23" t="n"/>
    </row>
    <row r="46">
      <c r="D46" s="21" t="n"/>
      <c r="E46" s="21" t="n"/>
      <c r="F46" s="22" t="n"/>
      <c r="H46" s="22" t="n"/>
      <c r="J46" s="23" t="n"/>
      <c r="M46" s="23" t="n"/>
    </row>
    <row r="47">
      <c r="D47" s="21" t="n"/>
      <c r="E47" s="21" t="n"/>
      <c r="F47" s="22" t="n"/>
      <c r="H47" s="22" t="n"/>
      <c r="J47" s="23" t="n"/>
      <c r="M47" s="23" t="n"/>
    </row>
    <row r="48">
      <c r="D48" s="21" t="n"/>
      <c r="E48" s="21" t="n"/>
      <c r="F48" s="22" t="n"/>
      <c r="H48" s="22" t="n"/>
      <c r="J48" s="23" t="n"/>
      <c r="M48" s="23" t="n"/>
    </row>
    <row r="49">
      <c r="D49" s="21" t="n"/>
      <c r="E49" s="21" t="n"/>
      <c r="F49" s="22" t="n"/>
      <c r="H49" s="22" t="n"/>
      <c r="J49" s="23" t="n"/>
      <c r="M49" s="23" t="n"/>
    </row>
    <row r="50">
      <c r="D50" s="21" t="n"/>
      <c r="E50" s="21" t="n"/>
      <c r="F50" s="22" t="n"/>
      <c r="H50" s="22" t="n"/>
      <c r="J50" s="23" t="n"/>
      <c r="M50" s="23" t="n"/>
    </row>
    <row r="51">
      <c r="D51" s="21" t="n"/>
      <c r="E51" s="21" t="n"/>
      <c r="F51" s="22" t="n"/>
      <c r="H51" s="22" t="n"/>
      <c r="J51" s="23" t="n"/>
      <c r="M51" s="23" t="n"/>
    </row>
    <row r="52">
      <c r="D52" s="21" t="n"/>
      <c r="E52" s="21" t="n"/>
      <c r="F52" s="22" t="n"/>
      <c r="H52" s="22" t="n"/>
      <c r="J52" s="23" t="n"/>
      <c r="M52" s="23" t="n"/>
    </row>
    <row r="53">
      <c r="D53" s="21" t="n"/>
      <c r="E53" s="21" t="n"/>
      <c r="F53" s="22" t="n"/>
      <c r="H53" s="22" t="n"/>
      <c r="J53" s="23" t="n"/>
      <c r="M53" s="23" t="n"/>
    </row>
    <row r="54">
      <c r="D54" s="21" t="n"/>
      <c r="E54" s="21" t="n"/>
      <c r="F54" s="22" t="n"/>
      <c r="H54" s="22" t="n"/>
      <c r="J54" s="23" t="n"/>
      <c r="M54" s="23" t="n"/>
    </row>
    <row r="55">
      <c r="D55" s="21" t="n"/>
      <c r="E55" s="21" t="n"/>
      <c r="F55" s="22" t="n"/>
      <c r="H55" s="22" t="n"/>
      <c r="J55" s="23" t="n"/>
      <c r="M55" s="23" t="n"/>
    </row>
    <row r="56">
      <c r="D56" s="21" t="n"/>
      <c r="E56" s="21" t="n"/>
      <c r="F56" s="22" t="n"/>
      <c r="H56" s="22" t="n"/>
      <c r="J56" s="23" t="n"/>
      <c r="M56" s="23" t="n"/>
    </row>
    <row r="57">
      <c r="D57" s="21" t="n"/>
      <c r="E57" s="21" t="n"/>
      <c r="F57" s="22" t="n"/>
      <c r="H57" s="22" t="n"/>
      <c r="J57" s="23" t="n"/>
      <c r="M57" s="23" t="n"/>
    </row>
    <row r="58">
      <c r="D58" s="21" t="n"/>
      <c r="E58" s="21" t="n"/>
      <c r="F58" s="22" t="n"/>
      <c r="H58" s="22" t="n"/>
      <c r="J58" s="23" t="n"/>
      <c r="M58" s="23" t="n"/>
    </row>
    <row r="59">
      <c r="D59" s="21" t="n"/>
      <c r="E59" s="21" t="n"/>
      <c r="F59" s="22" t="n"/>
      <c r="H59" s="22" t="n"/>
      <c r="J59" s="23" t="n"/>
      <c r="M59" s="23" t="n"/>
    </row>
    <row r="60">
      <c r="D60" s="21" t="n"/>
      <c r="E60" s="21" t="n"/>
      <c r="F60" s="22" t="n"/>
      <c r="H60" s="22" t="n"/>
      <c r="J60" s="23" t="n"/>
      <c r="M60" s="23" t="n"/>
    </row>
    <row r="61">
      <c r="D61" s="21" t="n"/>
      <c r="E61" s="21" t="n"/>
      <c r="F61" s="22" t="n"/>
      <c r="H61" s="22" t="n"/>
      <c r="J61" s="23" t="n"/>
      <c r="M61" s="23" t="n"/>
    </row>
    <row r="62">
      <c r="D62" s="21" t="n"/>
      <c r="E62" s="21" t="n"/>
      <c r="F62" s="22" t="n"/>
      <c r="H62" s="22" t="n"/>
      <c r="J62" s="23" t="n"/>
      <c r="M62" s="23" t="n"/>
    </row>
    <row r="63">
      <c r="D63" s="21" t="n"/>
      <c r="E63" s="21" t="n"/>
      <c r="F63" s="22" t="n"/>
      <c r="H63" s="22" t="n"/>
      <c r="J63" s="23" t="n"/>
      <c r="M63" s="23" t="n"/>
    </row>
    <row r="64">
      <c r="D64" s="21" t="n"/>
      <c r="E64" s="21" t="n"/>
      <c r="F64" s="22" t="n"/>
      <c r="H64" s="22" t="n"/>
      <c r="J64" s="23" t="n"/>
      <c r="M64" s="23" t="n"/>
    </row>
    <row r="65">
      <c r="D65" s="21" t="n"/>
      <c r="E65" s="21" t="n"/>
      <c r="F65" s="22" t="n"/>
      <c r="H65" s="22" t="n"/>
      <c r="J65" s="23" t="n"/>
      <c r="M65" s="23" t="n"/>
    </row>
    <row r="66">
      <c r="D66" s="21" t="n"/>
      <c r="E66" s="21" t="n"/>
      <c r="F66" s="22" t="n"/>
      <c r="H66" s="22" t="n"/>
      <c r="J66" s="23" t="n"/>
      <c r="M66" s="23" t="n"/>
    </row>
    <row r="67">
      <c r="D67" s="21" t="n"/>
      <c r="E67" s="21" t="n"/>
      <c r="F67" s="22" t="n"/>
      <c r="H67" s="22" t="n"/>
      <c r="J67" s="23" t="n"/>
      <c r="M67" s="23" t="n"/>
    </row>
    <row r="68">
      <c r="D68" s="21" t="n"/>
      <c r="E68" s="21" t="n"/>
      <c r="F68" s="22" t="n"/>
      <c r="H68" s="22" t="n"/>
      <c r="J68" s="23" t="n"/>
      <c r="M68" s="23" t="n"/>
    </row>
    <row r="69">
      <c r="D69" s="21" t="n"/>
      <c r="E69" s="21" t="n"/>
      <c r="F69" s="22" t="n"/>
      <c r="H69" s="22" t="n"/>
      <c r="J69" s="23" t="n"/>
      <c r="M69" s="23" t="n"/>
    </row>
    <row r="70">
      <c r="D70" s="21" t="n"/>
      <c r="E70" s="21" t="n"/>
      <c r="F70" s="22" t="n"/>
      <c r="H70" s="22" t="n"/>
      <c r="J70" s="23" t="n"/>
      <c r="M70" s="23" t="n"/>
    </row>
    <row r="71">
      <c r="D71" s="21" t="n"/>
      <c r="E71" s="21" t="n"/>
      <c r="F71" s="22" t="n"/>
      <c r="H71" s="22" t="n"/>
      <c r="J71" s="23" t="n"/>
      <c r="M71" s="23" t="n"/>
    </row>
    <row r="72">
      <c r="D72" s="21" t="n"/>
      <c r="E72" s="21" t="n"/>
      <c r="F72" s="22" t="n"/>
      <c r="H72" s="22" t="n"/>
      <c r="J72" s="23" t="n"/>
      <c r="M72" s="23" t="n"/>
    </row>
    <row r="73">
      <c r="D73" s="21" t="n"/>
      <c r="E73" s="21" t="n"/>
      <c r="F73" s="22" t="n"/>
      <c r="H73" s="22" t="n"/>
      <c r="J73" s="23" t="n"/>
      <c r="M73" s="23" t="n"/>
    </row>
    <row r="74">
      <c r="D74" s="21" t="n"/>
      <c r="E74" s="21" t="n"/>
      <c r="F74" s="22" t="n"/>
      <c r="H74" s="22" t="n"/>
      <c r="J74" s="23" t="n"/>
      <c r="M74" s="23" t="n"/>
    </row>
    <row r="75">
      <c r="D75" s="21" t="n"/>
      <c r="E75" s="21" t="n"/>
      <c r="F75" s="22" t="n"/>
      <c r="H75" s="22" t="n"/>
      <c r="J75" s="23" t="n"/>
      <c r="M75" s="23" t="n"/>
    </row>
    <row r="76">
      <c r="D76" s="21" t="n"/>
      <c r="E76" s="21" t="n"/>
      <c r="F76" s="22" t="n"/>
      <c r="H76" s="22" t="n"/>
      <c r="J76" s="23" t="n"/>
      <c r="M76" s="23" t="n"/>
    </row>
    <row r="77">
      <c r="D77" s="21" t="n"/>
      <c r="E77" s="21" t="n"/>
      <c r="F77" s="22" t="n"/>
      <c r="H77" s="22" t="n"/>
      <c r="J77" s="23" t="n"/>
      <c r="M77" s="23" t="n"/>
    </row>
    <row r="78">
      <c r="D78" s="21" t="n"/>
      <c r="E78" s="21" t="n"/>
      <c r="F78" s="22" t="n"/>
      <c r="H78" s="22" t="n"/>
      <c r="J78" s="23" t="n"/>
      <c r="M78" s="23" t="n"/>
    </row>
    <row r="79">
      <c r="D79" s="21" t="n"/>
      <c r="E79" s="21" t="n"/>
      <c r="F79" s="22" t="n"/>
      <c r="H79" s="22" t="n"/>
      <c r="J79" s="23" t="n"/>
      <c r="M79" s="23" t="n"/>
    </row>
    <row r="80">
      <c r="D80" s="21" t="n"/>
      <c r="E80" s="21" t="n"/>
      <c r="F80" s="22" t="n"/>
      <c r="H80" s="22" t="n"/>
      <c r="J80" s="23" t="n"/>
      <c r="M80" s="23" t="n"/>
    </row>
    <row r="81">
      <c r="D81" s="21" t="n"/>
      <c r="E81" s="21" t="n"/>
      <c r="F81" s="22" t="n"/>
      <c r="H81" s="22" t="n"/>
      <c r="J81" s="23" t="n"/>
      <c r="M81" s="23" t="n"/>
    </row>
    <row r="82">
      <c r="D82" s="21" t="n"/>
      <c r="E82" s="21" t="n"/>
      <c r="F82" s="22" t="n"/>
      <c r="H82" s="22" t="n"/>
      <c r="J82" s="23" t="n"/>
      <c r="M82" s="23" t="n"/>
    </row>
    <row r="83">
      <c r="D83" s="21" t="n"/>
      <c r="E83" s="21" t="n"/>
      <c r="F83" s="22" t="n"/>
      <c r="H83" s="22" t="n"/>
      <c r="J83" s="23" t="n"/>
      <c r="M83" s="23" t="n"/>
    </row>
    <row r="84">
      <c r="D84" s="21" t="n"/>
      <c r="E84" s="21" t="n"/>
      <c r="F84" s="22" t="n"/>
      <c r="H84" s="22" t="n"/>
      <c r="J84" s="23" t="n"/>
      <c r="M84" s="23" t="n"/>
    </row>
    <row r="85">
      <c r="D85" s="21" t="n"/>
      <c r="E85" s="21" t="n"/>
      <c r="F85" s="22" t="n"/>
      <c r="H85" s="22" t="n"/>
      <c r="J85" s="23" t="n"/>
      <c r="M85" s="23" t="n"/>
    </row>
    <row r="86">
      <c r="D86" s="21" t="n"/>
      <c r="E86" s="21" t="n"/>
      <c r="F86" s="22" t="n"/>
      <c r="H86" s="22" t="n"/>
      <c r="J86" s="23" t="n"/>
      <c r="M86" s="23" t="n"/>
    </row>
    <row r="87">
      <c r="D87" s="21" t="n"/>
      <c r="E87" s="21" t="n"/>
      <c r="F87" s="22" t="n"/>
      <c r="H87" s="22" t="n"/>
      <c r="J87" s="23" t="n"/>
      <c r="M87" s="23" t="n"/>
    </row>
    <row r="88">
      <c r="D88" s="21" t="n"/>
      <c r="E88" s="21" t="n"/>
      <c r="F88" s="22" t="n"/>
      <c r="H88" s="22" t="n"/>
      <c r="J88" s="23" t="n"/>
      <c r="M88" s="23" t="n"/>
    </row>
    <row r="89">
      <c r="D89" s="21" t="n"/>
      <c r="E89" s="21" t="n"/>
      <c r="F89" s="22" t="n"/>
      <c r="H89" s="22" t="n"/>
      <c r="J89" s="23" t="n"/>
      <c r="M89" s="23" t="n"/>
    </row>
    <row r="90">
      <c r="D90" s="21" t="n"/>
      <c r="E90" s="21" t="n"/>
      <c r="F90" s="22" t="n"/>
      <c r="H90" s="22" t="n"/>
      <c r="J90" s="23" t="n"/>
      <c r="M90" s="23" t="n"/>
    </row>
    <row r="91">
      <c r="D91" s="21" t="n"/>
      <c r="E91" s="21" t="n"/>
      <c r="F91" s="22" t="n"/>
      <c r="H91" s="22" t="n"/>
      <c r="J91" s="23" t="n"/>
      <c r="M91" s="23" t="n"/>
    </row>
    <row r="92">
      <c r="D92" s="21" t="n"/>
      <c r="E92" s="21" t="n"/>
      <c r="F92" s="22" t="n"/>
      <c r="H92" s="22" t="n"/>
      <c r="J92" s="23" t="n"/>
      <c r="M92" s="23" t="n"/>
    </row>
    <row r="93">
      <c r="D93" s="21" t="n"/>
      <c r="E93" s="21" t="n"/>
      <c r="F93" s="22" t="n"/>
      <c r="H93" s="22" t="n"/>
      <c r="J93" s="23" t="n"/>
      <c r="M93" s="23" t="n"/>
    </row>
    <row r="94">
      <c r="D94" s="21" t="n"/>
      <c r="E94" s="21" t="n"/>
      <c r="F94" s="22" t="n"/>
      <c r="H94" s="22" t="n"/>
      <c r="J94" s="23" t="n"/>
      <c r="M94" s="23" t="n"/>
    </row>
    <row r="95">
      <c r="D95" s="21" t="n"/>
      <c r="E95" s="21" t="n"/>
      <c r="F95" s="22" t="n"/>
      <c r="H95" s="22" t="n"/>
      <c r="J95" s="23" t="n"/>
      <c r="M95" s="23" t="n"/>
    </row>
    <row r="96">
      <c r="D96" s="21" t="n"/>
      <c r="E96" s="21" t="n"/>
      <c r="F96" s="22" t="n"/>
      <c r="H96" s="22" t="n"/>
      <c r="J96" s="23" t="n"/>
      <c r="M96" s="23" t="n"/>
    </row>
    <row r="97">
      <c r="D97" s="21" t="n"/>
      <c r="E97" s="21" t="n"/>
      <c r="F97" s="22" t="n"/>
      <c r="H97" s="22" t="n"/>
      <c r="J97" s="23" t="n"/>
      <c r="M97" s="23" t="n"/>
    </row>
    <row r="98">
      <c r="D98" s="21" t="n"/>
      <c r="E98" s="21" t="n"/>
      <c r="F98" s="22" t="n"/>
      <c r="H98" s="22" t="n"/>
      <c r="J98" s="23" t="n"/>
      <c r="M98" s="23" t="n"/>
    </row>
    <row r="99">
      <c r="D99" s="21" t="n"/>
      <c r="E99" s="21" t="n"/>
      <c r="F99" s="22" t="n"/>
      <c r="H99" s="22" t="n"/>
      <c r="J99" s="23" t="n"/>
      <c r="M99" s="23" t="n"/>
    </row>
    <row r="100">
      <c r="D100" s="21" t="n"/>
      <c r="E100" s="21" t="n"/>
      <c r="F100" s="22" t="n"/>
      <c r="H100" s="22" t="n"/>
      <c r="J100" s="23" t="n"/>
      <c r="M100" s="23" t="n"/>
    </row>
    <row r="101">
      <c r="D101" s="21" t="n"/>
      <c r="E101" s="21" t="n"/>
      <c r="F101" s="22" t="n"/>
      <c r="H101" s="22" t="n"/>
      <c r="J101" s="23" t="n"/>
      <c r="M101" s="23" t="n"/>
    </row>
    <row r="102">
      <c r="D102" s="21" t="n"/>
      <c r="E102" s="21" t="n"/>
      <c r="F102" s="22" t="n"/>
      <c r="H102" s="22" t="n"/>
      <c r="J102" s="23" t="n"/>
      <c r="M102" s="23" t="n"/>
    </row>
    <row r="103">
      <c r="D103" s="21" t="n"/>
      <c r="E103" s="21" t="n"/>
      <c r="F103" s="22" t="n"/>
      <c r="H103" s="22" t="n"/>
      <c r="J103" s="23" t="n"/>
      <c r="M103" s="23" t="n"/>
    </row>
    <row r="104">
      <c r="D104" s="21" t="n"/>
      <c r="E104" s="21" t="n"/>
      <c r="F104" s="22" t="n"/>
      <c r="H104" s="22" t="n"/>
      <c r="J104" s="23" t="n"/>
      <c r="M104" s="23" t="n"/>
    </row>
    <row r="105">
      <c r="D105" s="21" t="n"/>
      <c r="E105" s="21" t="n"/>
      <c r="F105" s="22" t="n"/>
      <c r="H105" s="22" t="n"/>
      <c r="J105" s="23" t="n"/>
      <c r="M105" s="23" t="n"/>
    </row>
    <row r="106">
      <c r="D106" s="21" t="n"/>
      <c r="E106" s="21" t="n"/>
      <c r="F106" s="22" t="n"/>
      <c r="H106" s="22" t="n"/>
      <c r="J106" s="23" t="n"/>
      <c r="M106" s="23" t="n"/>
    </row>
    <row r="107">
      <c r="D107" s="21" t="n"/>
      <c r="E107" s="21" t="n"/>
      <c r="F107" s="22" t="n"/>
      <c r="H107" s="22" t="n"/>
      <c r="J107" s="23" t="n"/>
      <c r="M107" s="23" t="n"/>
    </row>
    <row r="108">
      <c r="D108" s="21" t="n"/>
      <c r="E108" s="21" t="n"/>
      <c r="F108" s="22" t="n"/>
      <c r="H108" s="22" t="n"/>
      <c r="J108" s="23" t="n"/>
      <c r="M108" s="23" t="n"/>
    </row>
    <row r="109">
      <c r="D109" s="21" t="n"/>
      <c r="E109" s="21" t="n"/>
      <c r="F109" s="22" t="n"/>
      <c r="H109" s="22" t="n"/>
      <c r="J109" s="23" t="n"/>
      <c r="M109" s="23" t="n"/>
    </row>
    <row r="110">
      <c r="D110" s="21" t="n"/>
      <c r="E110" s="21" t="n"/>
      <c r="F110" s="22" t="n"/>
      <c r="H110" s="22" t="n"/>
      <c r="J110" s="23" t="n"/>
      <c r="M110" s="23" t="n"/>
    </row>
    <row r="111">
      <c r="D111" s="21" t="n"/>
      <c r="E111" s="21" t="n"/>
      <c r="F111" s="22" t="n"/>
      <c r="H111" s="22" t="n"/>
      <c r="J111" s="23" t="n"/>
      <c r="M111" s="23" t="n"/>
    </row>
    <row r="112">
      <c r="D112" s="21" t="n"/>
      <c r="E112" s="21" t="n"/>
      <c r="F112" s="22" t="n"/>
      <c r="H112" s="22" t="n"/>
      <c r="J112" s="23" t="n"/>
      <c r="M112" s="23" t="n"/>
    </row>
    <row r="113">
      <c r="D113" s="21" t="n"/>
      <c r="E113" s="21" t="n"/>
      <c r="F113" s="22" t="n"/>
      <c r="H113" s="22" t="n"/>
      <c r="J113" s="23" t="n"/>
      <c r="M113" s="23" t="n"/>
    </row>
    <row r="114">
      <c r="D114" s="21" t="n"/>
      <c r="E114" s="21" t="n"/>
      <c r="F114" s="22" t="n"/>
      <c r="H114" s="22" t="n"/>
      <c r="J114" s="23" t="n"/>
      <c r="M114" s="23" t="n"/>
    </row>
    <row r="115">
      <c r="D115" s="21" t="n"/>
      <c r="E115" s="21" t="n"/>
      <c r="F115" s="22" t="n"/>
      <c r="H115" s="22" t="n"/>
      <c r="J115" s="23" t="n"/>
      <c r="M115" s="23" t="n"/>
    </row>
    <row r="116">
      <c r="D116" s="21" t="n"/>
      <c r="E116" s="21" t="n"/>
      <c r="F116" s="22" t="n"/>
      <c r="H116" s="22" t="n"/>
      <c r="J116" s="23" t="n"/>
      <c r="M116" s="23" t="n"/>
    </row>
    <row r="117">
      <c r="D117" s="21" t="n"/>
      <c r="E117" s="21" t="n"/>
      <c r="F117" s="22" t="n"/>
      <c r="H117" s="22" t="n"/>
      <c r="J117" s="23" t="n"/>
      <c r="M117" s="23" t="n"/>
    </row>
    <row r="118">
      <c r="D118" s="21" t="n"/>
      <c r="E118" s="21" t="n"/>
      <c r="F118" s="22" t="n"/>
      <c r="H118" s="22" t="n"/>
      <c r="J118" s="23" t="n"/>
      <c r="M118" s="23" t="n"/>
    </row>
    <row r="119">
      <c r="D119" s="21" t="n"/>
      <c r="E119" s="21" t="n"/>
      <c r="F119" s="22" t="n"/>
      <c r="H119" s="22" t="n"/>
      <c r="J119" s="23" t="n"/>
      <c r="M119" s="23" t="n"/>
    </row>
    <row r="120">
      <c r="D120" s="21" t="n"/>
      <c r="E120" s="21" t="n"/>
      <c r="F120" s="22" t="n"/>
      <c r="H120" s="22" t="n"/>
      <c r="J120" s="23" t="n"/>
      <c r="M120" s="23" t="n"/>
    </row>
    <row r="121">
      <c r="D121" s="21" t="n"/>
      <c r="E121" s="21" t="n"/>
      <c r="F121" s="22" t="n"/>
      <c r="H121" s="22" t="n"/>
      <c r="J121" s="23" t="n"/>
      <c r="M121" s="23" t="n"/>
    </row>
    <row r="122">
      <c r="D122" s="21" t="n"/>
      <c r="E122" s="21" t="n"/>
      <c r="F122" s="22" t="n"/>
      <c r="H122" s="22" t="n"/>
      <c r="J122" s="23" t="n"/>
      <c r="M122" s="23" t="n"/>
    </row>
    <row r="123">
      <c r="D123" s="21" t="n"/>
      <c r="E123" s="21" t="n"/>
      <c r="F123" s="22" t="n"/>
      <c r="H123" s="22" t="n"/>
      <c r="J123" s="23" t="n"/>
      <c r="M123" s="23" t="n"/>
    </row>
    <row r="124">
      <c r="D124" s="21" t="n"/>
      <c r="E124" s="21" t="n"/>
      <c r="F124" s="22" t="n"/>
      <c r="H124" s="22" t="n"/>
      <c r="J124" s="23" t="n"/>
      <c r="M124" s="23" t="n"/>
    </row>
    <row r="125">
      <c r="D125" s="21" t="n"/>
      <c r="E125" s="21" t="n"/>
      <c r="F125" s="22" t="n"/>
      <c r="H125" s="22" t="n"/>
      <c r="J125" s="23" t="n"/>
      <c r="M125" s="23" t="n"/>
    </row>
    <row r="126">
      <c r="D126" s="21" t="n"/>
      <c r="E126" s="21" t="n"/>
      <c r="F126" s="22" t="n"/>
      <c r="H126" s="22" t="n"/>
      <c r="J126" s="23" t="n"/>
      <c r="M126" s="23" t="n"/>
    </row>
    <row r="127">
      <c r="D127" s="21" t="n"/>
      <c r="E127" s="21" t="n"/>
      <c r="F127" s="22" t="n"/>
      <c r="H127" s="22" t="n"/>
      <c r="J127" s="23" t="n"/>
      <c r="M127" s="23" t="n"/>
    </row>
    <row r="128">
      <c r="D128" s="21" t="n"/>
      <c r="E128" s="21" t="n"/>
      <c r="F128" s="22" t="n"/>
      <c r="H128" s="22" t="n"/>
      <c r="J128" s="23" t="n"/>
      <c r="M128" s="23" t="n"/>
    </row>
    <row r="129">
      <c r="D129" s="21" t="n"/>
      <c r="E129" s="21" t="n"/>
      <c r="F129" s="22" t="n"/>
      <c r="H129" s="22" t="n"/>
      <c r="J129" s="23" t="n"/>
      <c r="M129" s="23" t="n"/>
    </row>
    <row r="130">
      <c r="D130" s="21" t="n"/>
      <c r="E130" s="21" t="n"/>
      <c r="F130" s="22" t="n"/>
      <c r="H130" s="22" t="n"/>
      <c r="J130" s="23" t="n"/>
      <c r="M130" s="23" t="n"/>
    </row>
    <row r="131">
      <c r="D131" s="21" t="n"/>
      <c r="E131" s="21" t="n"/>
      <c r="F131" s="22" t="n"/>
      <c r="H131" s="22" t="n"/>
      <c r="J131" s="23" t="n"/>
      <c r="M131" s="23" t="n"/>
    </row>
    <row r="132">
      <c r="D132" s="21" t="n"/>
      <c r="E132" s="21" t="n"/>
      <c r="F132" s="22" t="n"/>
      <c r="H132" s="22" t="n"/>
      <c r="J132" s="23" t="n"/>
      <c r="M132" s="23" t="n"/>
    </row>
    <row r="133">
      <c r="D133" s="21" t="n"/>
      <c r="E133" s="21" t="n"/>
      <c r="F133" s="22" t="n"/>
      <c r="H133" s="22" t="n"/>
      <c r="J133" s="23" t="n"/>
      <c r="M133" s="23" t="n"/>
    </row>
    <row r="134">
      <c r="D134" s="21" t="n"/>
      <c r="E134" s="21" t="n"/>
      <c r="F134" s="22" t="n"/>
      <c r="H134" s="22" t="n"/>
      <c r="J134" s="23" t="n"/>
      <c r="M134" s="23" t="n"/>
    </row>
    <row r="135">
      <c r="D135" s="21" t="n"/>
      <c r="E135" s="21" t="n"/>
      <c r="F135" s="22" t="n"/>
      <c r="H135" s="22" t="n"/>
      <c r="J135" s="23" t="n"/>
      <c r="M135" s="23" t="n"/>
    </row>
    <row r="136">
      <c r="D136" s="21" t="n"/>
      <c r="E136" s="21" t="n"/>
      <c r="F136" s="22" t="n"/>
      <c r="H136" s="22" t="n"/>
      <c r="J136" s="23" t="n"/>
      <c r="M136" s="23" t="n"/>
    </row>
    <row r="137">
      <c r="D137" s="21" t="n"/>
      <c r="E137" s="21" t="n"/>
      <c r="F137" s="22" t="n"/>
      <c r="H137" s="22" t="n"/>
      <c r="J137" s="23" t="n"/>
      <c r="M137" s="23" t="n"/>
    </row>
    <row r="138">
      <c r="D138" s="21" t="n"/>
      <c r="E138" s="21" t="n"/>
      <c r="F138" s="22" t="n"/>
      <c r="H138" s="22" t="n"/>
      <c r="J138" s="23" t="n"/>
      <c r="M138" s="23" t="n"/>
    </row>
    <row r="139">
      <c r="D139" s="21" t="n"/>
      <c r="E139" s="21" t="n"/>
      <c r="F139" s="22" t="n"/>
      <c r="H139" s="22" t="n"/>
      <c r="J139" s="23" t="n"/>
      <c r="M139" s="23" t="n"/>
    </row>
    <row r="140">
      <c r="D140" s="21" t="n"/>
      <c r="E140" s="21" t="n"/>
      <c r="F140" s="22" t="n"/>
      <c r="H140" s="22" t="n"/>
      <c r="J140" s="23" t="n"/>
      <c r="M140" s="23" t="n"/>
    </row>
    <row r="141">
      <c r="D141" s="21" t="n"/>
      <c r="E141" s="21" t="n"/>
      <c r="F141" s="22" t="n"/>
      <c r="H141" s="22" t="n"/>
      <c r="J141" s="23" t="n"/>
      <c r="M141" s="23" t="n"/>
    </row>
    <row r="142">
      <c r="D142" s="21" t="n"/>
      <c r="E142" s="21" t="n"/>
      <c r="F142" s="22" t="n"/>
      <c r="H142" s="22" t="n"/>
      <c r="J142" s="23" t="n"/>
      <c r="M142" s="23" t="n"/>
    </row>
    <row r="143">
      <c r="D143" s="21" t="n"/>
      <c r="E143" s="21" t="n"/>
      <c r="F143" s="22" t="n"/>
      <c r="H143" s="22" t="n"/>
      <c r="J143" s="23" t="n"/>
      <c r="M143" s="23" t="n"/>
    </row>
    <row r="144">
      <c r="D144" s="21" t="n"/>
      <c r="E144" s="21" t="n"/>
      <c r="F144" s="22" t="n"/>
      <c r="H144" s="22" t="n"/>
      <c r="J144" s="23" t="n"/>
      <c r="M144" s="23" t="n"/>
    </row>
    <row r="145">
      <c r="D145" s="21" t="n"/>
      <c r="E145" s="21" t="n"/>
      <c r="F145" s="22" t="n"/>
      <c r="H145" s="22" t="n"/>
      <c r="J145" s="23" t="n"/>
      <c r="M145" s="23" t="n"/>
    </row>
    <row r="146">
      <c r="D146" s="21" t="n"/>
      <c r="E146" s="21" t="n"/>
      <c r="F146" s="22" t="n"/>
      <c r="H146" s="22" t="n"/>
      <c r="J146" s="23" t="n"/>
      <c r="M146" s="23" t="n"/>
    </row>
    <row r="147">
      <c r="D147" s="21" t="n"/>
      <c r="E147" s="21" t="n"/>
      <c r="F147" s="22" t="n"/>
      <c r="H147" s="22" t="n"/>
      <c r="J147" s="23" t="n"/>
      <c r="M147" s="23" t="n"/>
    </row>
    <row r="148">
      <c r="D148" s="21" t="n"/>
      <c r="E148" s="21" t="n"/>
      <c r="F148" s="22" t="n"/>
      <c r="H148" s="22" t="n"/>
      <c r="J148" s="23" t="n"/>
      <c r="M148" s="23" t="n"/>
    </row>
    <row r="149">
      <c r="D149" s="21" t="n"/>
      <c r="E149" s="21" t="n"/>
      <c r="F149" s="22" t="n"/>
      <c r="H149" s="22" t="n"/>
      <c r="J149" s="23" t="n"/>
      <c r="M149" s="23" t="n"/>
    </row>
    <row r="150">
      <c r="D150" s="21" t="n"/>
      <c r="E150" s="21" t="n"/>
      <c r="F150" s="22" t="n"/>
      <c r="H150" s="22" t="n"/>
      <c r="J150" s="23" t="n"/>
      <c r="M150" s="23" t="n"/>
    </row>
    <row r="151">
      <c r="D151" s="21" t="n"/>
      <c r="E151" s="21" t="n"/>
      <c r="F151" s="22" t="n"/>
      <c r="H151" s="22" t="n"/>
      <c r="J151" s="23" t="n"/>
      <c r="M151" s="23" t="n"/>
    </row>
    <row r="152">
      <c r="D152" s="21" t="n"/>
      <c r="E152" s="21" t="n"/>
      <c r="F152" s="22" t="n"/>
      <c r="H152" s="22" t="n"/>
      <c r="J152" s="23" t="n"/>
      <c r="M152" s="23" t="n"/>
    </row>
    <row r="153">
      <c r="D153" s="21" t="n"/>
      <c r="E153" s="21" t="n"/>
      <c r="F153" s="22" t="n"/>
      <c r="H153" s="22" t="n"/>
      <c r="J153" s="23" t="n"/>
      <c r="M153" s="23" t="n"/>
    </row>
    <row r="154">
      <c r="D154" s="21" t="n"/>
      <c r="E154" s="21" t="n"/>
      <c r="F154" s="22" t="n"/>
      <c r="H154" s="22" t="n"/>
      <c r="J154" s="23" t="n"/>
      <c r="M154" s="23" t="n"/>
    </row>
    <row r="155">
      <c r="D155" s="21" t="n"/>
      <c r="E155" s="21" t="n"/>
      <c r="F155" s="22" t="n"/>
      <c r="H155" s="22" t="n"/>
      <c r="J155" s="23" t="n"/>
      <c r="M155" s="23" t="n"/>
    </row>
    <row r="156">
      <c r="D156" s="21" t="n"/>
      <c r="E156" s="21" t="n"/>
      <c r="F156" s="22" t="n"/>
      <c r="H156" s="22" t="n"/>
      <c r="J156" s="23" t="n"/>
      <c r="M156" s="23" t="n"/>
    </row>
    <row r="157">
      <c r="D157" s="21" t="n"/>
      <c r="E157" s="21" t="n"/>
      <c r="F157" s="22" t="n"/>
      <c r="H157" s="22" t="n"/>
      <c r="J157" s="23" t="n"/>
      <c r="M157" s="23" t="n"/>
    </row>
    <row r="158">
      <c r="D158" s="21" t="n"/>
      <c r="E158" s="21" t="n"/>
      <c r="F158" s="22" t="n"/>
      <c r="H158" s="22" t="n"/>
      <c r="J158" s="23" t="n"/>
      <c r="M158" s="23" t="n"/>
    </row>
    <row r="159">
      <c r="D159" s="21" t="n"/>
      <c r="E159" s="21" t="n"/>
      <c r="F159" s="22" t="n"/>
      <c r="H159" s="22" t="n"/>
      <c r="J159" s="23" t="n"/>
      <c r="M159" s="23" t="n"/>
    </row>
    <row r="160">
      <c r="D160" s="21" t="n"/>
      <c r="E160" s="21" t="n"/>
      <c r="F160" s="22" t="n"/>
      <c r="H160" s="22" t="n"/>
      <c r="J160" s="23" t="n"/>
      <c r="M160" s="23" t="n"/>
    </row>
    <row r="161">
      <c r="D161" s="21" t="n"/>
      <c r="E161" s="21" t="n"/>
      <c r="F161" s="22" t="n"/>
      <c r="H161" s="22" t="n"/>
      <c r="J161" s="23" t="n"/>
      <c r="M161" s="23" t="n"/>
    </row>
    <row r="162">
      <c r="D162" s="21" t="n"/>
      <c r="E162" s="21" t="n"/>
      <c r="F162" s="22" t="n"/>
      <c r="H162" s="22" t="n"/>
      <c r="J162" s="23" t="n"/>
      <c r="M162" s="23" t="n"/>
    </row>
    <row r="163">
      <c r="D163" s="21" t="n"/>
      <c r="E163" s="21" t="n"/>
      <c r="F163" s="22" t="n"/>
      <c r="H163" s="22" t="n"/>
      <c r="J163" s="23" t="n"/>
      <c r="M163" s="23" t="n"/>
    </row>
    <row r="164">
      <c r="D164" s="21" t="n"/>
      <c r="E164" s="21" t="n"/>
      <c r="F164" s="22" t="n"/>
      <c r="H164" s="22" t="n"/>
      <c r="J164" s="23" t="n"/>
      <c r="M164" s="23" t="n"/>
    </row>
    <row r="165">
      <c r="D165" s="21" t="n"/>
      <c r="E165" s="21" t="n"/>
      <c r="F165" s="22" t="n"/>
      <c r="H165" s="22" t="n"/>
      <c r="J165" s="23" t="n"/>
      <c r="M165" s="23" t="n"/>
    </row>
    <row r="166">
      <c r="D166" s="21" t="n"/>
      <c r="E166" s="21" t="n"/>
      <c r="F166" s="22" t="n"/>
      <c r="H166" s="22" t="n"/>
      <c r="J166" s="23" t="n"/>
      <c r="M166" s="23" t="n"/>
    </row>
    <row r="167">
      <c r="D167" s="21" t="n"/>
      <c r="E167" s="21" t="n"/>
      <c r="F167" s="22" t="n"/>
      <c r="H167" s="22" t="n"/>
      <c r="J167" s="23" t="n"/>
      <c r="M167" s="23" t="n"/>
    </row>
    <row r="168">
      <c r="D168" s="21" t="n"/>
      <c r="E168" s="21" t="n"/>
      <c r="F168" s="22" t="n"/>
      <c r="H168" s="22" t="n"/>
      <c r="J168" s="23" t="n"/>
      <c r="M168" s="23" t="n"/>
    </row>
    <row r="169">
      <c r="D169" s="21" t="n"/>
      <c r="E169" s="21" t="n"/>
      <c r="F169" s="22" t="n"/>
      <c r="H169" s="22" t="n"/>
      <c r="J169" s="23" t="n"/>
      <c r="M169" s="23" t="n"/>
    </row>
    <row r="170">
      <c r="D170" s="21" t="n"/>
      <c r="E170" s="21" t="n"/>
      <c r="F170" s="22" t="n"/>
      <c r="H170" s="22" t="n"/>
      <c r="J170" s="23" t="n"/>
      <c r="M170" s="23" t="n"/>
    </row>
    <row r="171">
      <c r="D171" s="21" t="n"/>
      <c r="E171" s="21" t="n"/>
      <c r="F171" s="22" t="n"/>
      <c r="H171" s="22" t="n"/>
      <c r="J171" s="23" t="n"/>
      <c r="M171" s="23" t="n"/>
    </row>
    <row r="172">
      <c r="D172" s="21" t="n"/>
      <c r="E172" s="21" t="n"/>
      <c r="F172" s="22" t="n"/>
      <c r="H172" s="22" t="n"/>
      <c r="J172" s="23" t="n"/>
      <c r="M172" s="23" t="n"/>
    </row>
    <row r="173">
      <c r="D173" s="21" t="n"/>
      <c r="E173" s="21" t="n"/>
      <c r="F173" s="22" t="n"/>
      <c r="H173" s="22" t="n"/>
      <c r="J173" s="23" t="n"/>
      <c r="M173" s="23" t="n"/>
    </row>
    <row r="174">
      <c r="D174" s="21" t="n"/>
      <c r="E174" s="21" t="n"/>
      <c r="F174" s="22" t="n"/>
      <c r="H174" s="22" t="n"/>
      <c r="J174" s="23" t="n"/>
      <c r="M174" s="23" t="n"/>
    </row>
    <row r="175">
      <c r="D175" s="21" t="n"/>
      <c r="E175" s="21" t="n"/>
      <c r="F175" s="22" t="n"/>
      <c r="H175" s="22" t="n"/>
      <c r="J175" s="23" t="n"/>
      <c r="M175" s="23" t="n"/>
    </row>
    <row r="176">
      <c r="D176" s="21" t="n"/>
      <c r="E176" s="21" t="n"/>
      <c r="F176" s="22" t="n"/>
      <c r="H176" s="22" t="n"/>
      <c r="J176" s="23" t="n"/>
      <c r="M176" s="23" t="n"/>
    </row>
    <row r="177">
      <c r="D177" s="21" t="n"/>
      <c r="E177" s="21" t="n"/>
      <c r="F177" s="22" t="n"/>
      <c r="H177" s="22" t="n"/>
      <c r="J177" s="23" t="n"/>
      <c r="M177" s="23" t="n"/>
    </row>
    <row r="178">
      <c r="D178" s="21" t="n"/>
      <c r="E178" s="21" t="n"/>
      <c r="F178" s="22" t="n"/>
      <c r="H178" s="22" t="n"/>
      <c r="J178" s="23" t="n"/>
      <c r="M178" s="23" t="n"/>
    </row>
    <row r="179">
      <c r="D179" s="21" t="n"/>
      <c r="E179" s="21" t="n"/>
      <c r="F179" s="22" t="n"/>
      <c r="H179" s="22" t="n"/>
      <c r="J179" s="23" t="n"/>
      <c r="M179" s="23" t="n"/>
    </row>
    <row r="180">
      <c r="D180" s="21" t="n"/>
      <c r="E180" s="21" t="n"/>
      <c r="F180" s="22" t="n"/>
      <c r="H180" s="22" t="n"/>
      <c r="J180" s="23" t="n"/>
      <c r="M180" s="23" t="n"/>
    </row>
    <row r="181">
      <c r="D181" s="21" t="n"/>
      <c r="E181" s="21" t="n"/>
      <c r="F181" s="22" t="n"/>
      <c r="H181" s="22" t="n"/>
      <c r="J181" s="23" t="n"/>
      <c r="M181" s="23" t="n"/>
    </row>
    <row r="182">
      <c r="D182" s="21" t="n"/>
      <c r="E182" s="21" t="n"/>
      <c r="F182" s="22" t="n"/>
      <c r="H182" s="22" t="n"/>
      <c r="J182" s="23" t="n"/>
      <c r="M182" s="23" t="n"/>
    </row>
    <row r="183">
      <c r="D183" s="21" t="n"/>
      <c r="E183" s="21" t="n"/>
      <c r="F183" s="22" t="n"/>
      <c r="H183" s="22" t="n"/>
      <c r="J183" s="23" t="n"/>
      <c r="M183" s="23" t="n"/>
    </row>
    <row r="184">
      <c r="D184" s="21" t="n"/>
      <c r="E184" s="21" t="n"/>
      <c r="F184" s="22" t="n"/>
      <c r="H184" s="22" t="n"/>
      <c r="J184" s="23" t="n"/>
      <c r="M184" s="23" t="n"/>
    </row>
    <row r="185">
      <c r="D185" s="21" t="n"/>
      <c r="E185" s="21" t="n"/>
      <c r="F185" s="22" t="n"/>
      <c r="H185" s="22" t="n"/>
      <c r="J185" s="23" t="n"/>
      <c r="M185" s="23" t="n"/>
    </row>
    <row r="186">
      <c r="D186" s="21" t="n"/>
      <c r="E186" s="21" t="n"/>
      <c r="F186" s="22" t="n"/>
      <c r="H186" s="22" t="n"/>
      <c r="J186" s="23" t="n"/>
      <c r="M186" s="23" t="n"/>
    </row>
    <row r="187">
      <c r="D187" s="21" t="n"/>
      <c r="E187" s="21" t="n"/>
      <c r="F187" s="22" t="n"/>
      <c r="H187" s="22" t="n"/>
      <c r="J187" s="23" t="n"/>
      <c r="M187" s="23" t="n"/>
    </row>
    <row r="188">
      <c r="D188" s="21" t="n"/>
      <c r="E188" s="21" t="n"/>
      <c r="F188" s="22" t="n"/>
      <c r="H188" s="22" t="n"/>
      <c r="J188" s="23" t="n"/>
      <c r="M188" s="23" t="n"/>
    </row>
    <row r="189">
      <c r="D189" s="21" t="n"/>
      <c r="E189" s="21" t="n"/>
      <c r="F189" s="22" t="n"/>
      <c r="H189" s="22" t="n"/>
      <c r="J189" s="23" t="n"/>
      <c r="M189" s="23" t="n"/>
    </row>
    <row r="190">
      <c r="D190" s="21" t="n"/>
      <c r="E190" s="21" t="n"/>
      <c r="F190" s="22" t="n"/>
      <c r="H190" s="22" t="n"/>
      <c r="J190" s="23" t="n"/>
      <c r="M190" s="23" t="n"/>
    </row>
    <row r="191">
      <c r="D191" s="21" t="n"/>
      <c r="E191" s="21" t="n"/>
      <c r="F191" s="22" t="n"/>
      <c r="H191" s="22" t="n"/>
      <c r="J191" s="23" t="n"/>
      <c r="M191" s="23" t="n"/>
    </row>
    <row r="192">
      <c r="D192" s="21" t="n"/>
      <c r="E192" s="21" t="n"/>
      <c r="F192" s="22" t="n"/>
      <c r="H192" s="22" t="n"/>
      <c r="J192" s="23" t="n"/>
      <c r="M192" s="23" t="n"/>
    </row>
    <row r="193">
      <c r="D193" s="21" t="n"/>
      <c r="E193" s="21" t="n"/>
      <c r="F193" s="22" t="n"/>
      <c r="H193" s="22" t="n"/>
      <c r="J193" s="23" t="n"/>
      <c r="M193" s="23" t="n"/>
    </row>
    <row r="194">
      <c r="D194" s="21" t="n"/>
      <c r="E194" s="21" t="n"/>
      <c r="F194" s="22" t="n"/>
      <c r="H194" s="22" t="n"/>
      <c r="J194" s="23" t="n"/>
      <c r="M194" s="23" t="n"/>
    </row>
    <row r="195">
      <c r="D195" s="21" t="n"/>
      <c r="E195" s="21" t="n"/>
      <c r="F195" s="22" t="n"/>
      <c r="H195" s="22" t="n"/>
      <c r="J195" s="23" t="n"/>
      <c r="M195" s="23" t="n"/>
    </row>
    <row r="196">
      <c r="D196" s="21" t="n"/>
      <c r="E196" s="21" t="n"/>
      <c r="F196" s="22" t="n"/>
      <c r="H196" s="22" t="n"/>
      <c r="J196" s="23" t="n"/>
      <c r="M196" s="23" t="n"/>
    </row>
    <row r="197">
      <c r="D197" s="21" t="n"/>
      <c r="E197" s="21" t="n"/>
      <c r="F197" s="22" t="n"/>
      <c r="H197" s="22" t="n"/>
      <c r="J197" s="23" t="n"/>
      <c r="M197" s="23" t="n"/>
    </row>
    <row r="198">
      <c r="D198" s="21" t="n"/>
      <c r="E198" s="21" t="n"/>
      <c r="F198" s="22" t="n"/>
      <c r="H198" s="22" t="n"/>
      <c r="J198" s="23" t="n"/>
      <c r="M198" s="23" t="n"/>
    </row>
    <row r="199">
      <c r="D199" s="21" t="n"/>
      <c r="E199" s="21" t="n"/>
      <c r="F199" s="22" t="n"/>
      <c r="H199" s="22" t="n"/>
      <c r="J199" s="23" t="n"/>
      <c r="M199" s="23" t="n"/>
    </row>
    <row r="200">
      <c r="D200" s="21" t="n"/>
      <c r="E200" s="21" t="n"/>
      <c r="F200" s="22" t="n"/>
      <c r="H200" s="22" t="n"/>
      <c r="J200" s="23" t="n"/>
      <c r="M200" s="23" t="n"/>
    </row>
    <row r="201">
      <c r="D201" s="21" t="n"/>
      <c r="E201" s="21" t="n"/>
      <c r="F201" s="22" t="n"/>
      <c r="H201" s="22" t="n"/>
      <c r="J201" s="23" t="n"/>
      <c r="M201" s="23" t="n"/>
    </row>
    <row r="202">
      <c r="D202" s="21" t="n"/>
      <c r="E202" s="21" t="n"/>
      <c r="F202" s="22" t="n"/>
      <c r="H202" s="22" t="n"/>
      <c r="J202" s="23" t="n"/>
      <c r="M202" s="23" t="n"/>
    </row>
    <row r="203">
      <c r="D203" s="21" t="n"/>
      <c r="E203" s="21" t="n"/>
      <c r="F203" s="22" t="n"/>
      <c r="H203" s="22" t="n"/>
      <c r="J203" s="23" t="n"/>
      <c r="M203" s="23" t="n"/>
    </row>
    <row r="204">
      <c r="D204" s="21" t="n"/>
      <c r="E204" s="21" t="n"/>
      <c r="F204" s="22" t="n"/>
      <c r="H204" s="22" t="n"/>
      <c r="J204" s="23" t="n"/>
      <c r="M204" s="23" t="n"/>
    </row>
    <row r="205">
      <c r="D205" s="21" t="n"/>
      <c r="E205" s="21" t="n"/>
      <c r="F205" s="22" t="n"/>
      <c r="H205" s="22" t="n"/>
      <c r="J205" s="23" t="n"/>
      <c r="M205" s="23" t="n"/>
    </row>
    <row r="206">
      <c r="D206" s="21" t="n"/>
      <c r="E206" s="21" t="n"/>
      <c r="F206" s="22" t="n"/>
      <c r="H206" s="22" t="n"/>
      <c r="J206" s="23" t="n"/>
      <c r="M206" s="23" t="n"/>
    </row>
    <row r="207">
      <c r="D207" s="21" t="n"/>
      <c r="E207" s="21" t="n"/>
      <c r="F207" s="22" t="n"/>
      <c r="H207" s="22" t="n"/>
      <c r="J207" s="23" t="n"/>
      <c r="M207" s="23" t="n"/>
    </row>
    <row r="208">
      <c r="D208" s="21" t="n"/>
      <c r="E208" s="21" t="n"/>
      <c r="F208" s="22" t="n"/>
      <c r="H208" s="22" t="n"/>
      <c r="J208" s="23" t="n"/>
      <c r="M208" s="23" t="n"/>
    </row>
    <row r="209">
      <c r="D209" s="21" t="n"/>
      <c r="E209" s="21" t="n"/>
      <c r="F209" s="22" t="n"/>
      <c r="H209" s="22" t="n"/>
      <c r="J209" s="23" t="n"/>
      <c r="M209" s="23" t="n"/>
    </row>
    <row r="210">
      <c r="D210" s="21" t="n"/>
      <c r="E210" s="21" t="n"/>
      <c r="F210" s="22" t="n"/>
      <c r="H210" s="22" t="n"/>
      <c r="J210" s="23" t="n"/>
      <c r="M210" s="23" t="n"/>
    </row>
    <row r="211">
      <c r="D211" s="21" t="n"/>
      <c r="E211" s="21" t="n"/>
      <c r="F211" s="22" t="n"/>
      <c r="H211" s="22" t="n"/>
      <c r="J211" s="23" t="n"/>
      <c r="M211" s="23" t="n"/>
    </row>
    <row r="212">
      <c r="D212" s="21" t="n"/>
      <c r="E212" s="21" t="n"/>
      <c r="F212" s="22" t="n"/>
      <c r="H212" s="22" t="n"/>
      <c r="J212" s="23" t="n"/>
      <c r="M212" s="23" t="n"/>
    </row>
    <row r="213">
      <c r="D213" s="21" t="n"/>
      <c r="E213" s="21" t="n"/>
      <c r="F213" s="22" t="n"/>
      <c r="H213" s="22" t="n"/>
      <c r="J213" s="23" t="n"/>
      <c r="M213" s="23" t="n"/>
    </row>
    <row r="214">
      <c r="D214" s="21" t="n"/>
      <c r="E214" s="21" t="n"/>
      <c r="F214" s="22" t="n"/>
      <c r="H214" s="22" t="n"/>
      <c r="J214" s="23" t="n"/>
      <c r="M214" s="23" t="n"/>
    </row>
    <row r="215">
      <c r="D215" s="21" t="n"/>
      <c r="E215" s="21" t="n"/>
      <c r="F215" s="22" t="n"/>
      <c r="H215" s="22" t="n"/>
      <c r="J215" s="23" t="n"/>
      <c r="M215" s="23" t="n"/>
    </row>
    <row r="216">
      <c r="D216" s="21" t="n"/>
      <c r="E216" s="21" t="n"/>
      <c r="F216" s="22" t="n"/>
      <c r="H216" s="22" t="n"/>
      <c r="J216" s="23" t="n"/>
      <c r="M216" s="23" t="n"/>
    </row>
    <row r="217">
      <c r="D217" s="21" t="n"/>
      <c r="E217" s="21" t="n"/>
      <c r="F217" s="22" t="n"/>
      <c r="H217" s="22" t="n"/>
      <c r="J217" s="23" t="n"/>
      <c r="M217" s="23" t="n"/>
    </row>
    <row r="218">
      <c r="D218" s="21" t="n"/>
      <c r="E218" s="21" t="n"/>
      <c r="F218" s="22" t="n"/>
      <c r="H218" s="22" t="n"/>
      <c r="J218" s="23" t="n"/>
      <c r="M218" s="23" t="n"/>
    </row>
    <row r="219">
      <c r="D219" s="21" t="n"/>
      <c r="E219" s="21" t="n"/>
      <c r="F219" s="22" t="n"/>
      <c r="H219" s="22" t="n"/>
      <c r="J219" s="23" t="n"/>
      <c r="M219" s="23" t="n"/>
    </row>
    <row r="220">
      <c r="D220" s="21" t="n"/>
      <c r="E220" s="21" t="n"/>
      <c r="F220" s="22" t="n"/>
      <c r="H220" s="22" t="n"/>
      <c r="J220" s="23" t="n"/>
      <c r="M220" s="23" t="n"/>
    </row>
    <row r="221">
      <c r="D221" s="21" t="n"/>
      <c r="E221" s="21" t="n"/>
      <c r="F221" s="22" t="n"/>
      <c r="H221" s="22" t="n"/>
      <c r="J221" s="23" t="n"/>
      <c r="M221" s="23" t="n"/>
    </row>
    <row r="222">
      <c r="D222" s="21" t="n"/>
      <c r="E222" s="21" t="n"/>
      <c r="F222" s="22" t="n"/>
      <c r="H222" s="22" t="n"/>
      <c r="J222" s="23" t="n"/>
      <c r="M222" s="23" t="n"/>
    </row>
    <row r="223">
      <c r="D223" s="21" t="n"/>
      <c r="E223" s="21" t="n"/>
      <c r="F223" s="22" t="n"/>
      <c r="H223" s="22" t="n"/>
      <c r="J223" s="23" t="n"/>
      <c r="M223" s="23" t="n"/>
    </row>
    <row r="224">
      <c r="D224" s="21" t="n"/>
      <c r="E224" s="21" t="n"/>
      <c r="F224" s="22" t="n"/>
      <c r="H224" s="22" t="n"/>
      <c r="J224" s="23" t="n"/>
      <c r="M224" s="23" t="n"/>
    </row>
    <row r="225">
      <c r="D225" s="21" t="n"/>
      <c r="E225" s="21" t="n"/>
      <c r="F225" s="22" t="n"/>
      <c r="H225" s="22" t="n"/>
      <c r="J225" s="23" t="n"/>
      <c r="M225" s="23" t="n"/>
    </row>
    <row r="226">
      <c r="D226" s="21" t="n"/>
      <c r="E226" s="21" t="n"/>
      <c r="F226" s="22" t="n"/>
      <c r="H226" s="22" t="n"/>
      <c r="J226" s="23" t="n"/>
      <c r="M226" s="23" t="n"/>
    </row>
    <row r="227">
      <c r="D227" s="21" t="n"/>
      <c r="E227" s="21" t="n"/>
      <c r="F227" s="22" t="n"/>
      <c r="H227" s="22" t="n"/>
      <c r="J227" s="23" t="n"/>
      <c r="M227" s="23" t="n"/>
    </row>
    <row r="228">
      <c r="D228" s="21" t="n"/>
      <c r="E228" s="21" t="n"/>
      <c r="F228" s="22" t="n"/>
      <c r="H228" s="22" t="n"/>
      <c r="J228" s="23" t="n"/>
      <c r="M228" s="23" t="n"/>
    </row>
    <row r="229">
      <c r="D229" s="21" t="n"/>
      <c r="E229" s="21" t="n"/>
      <c r="F229" s="22" t="n"/>
      <c r="H229" s="22" t="n"/>
      <c r="J229" s="23" t="n"/>
      <c r="M229" s="23" t="n"/>
    </row>
    <row r="230">
      <c r="D230" s="21" t="n"/>
      <c r="E230" s="21" t="n"/>
      <c r="F230" s="22" t="n"/>
      <c r="H230" s="22" t="n"/>
      <c r="J230" s="23" t="n"/>
      <c r="M230" s="23" t="n"/>
    </row>
    <row r="231">
      <c r="D231" s="21" t="n"/>
      <c r="E231" s="21" t="n"/>
      <c r="F231" s="22" t="n"/>
      <c r="H231" s="22" t="n"/>
      <c r="J231" s="23" t="n"/>
      <c r="M231" s="23" t="n"/>
    </row>
    <row r="232">
      <c r="D232" s="21" t="n"/>
      <c r="E232" s="21" t="n"/>
      <c r="F232" s="22" t="n"/>
      <c r="H232" s="22" t="n"/>
      <c r="J232" s="23" t="n"/>
      <c r="M232" s="23" t="n"/>
    </row>
    <row r="233">
      <c r="D233" s="21" t="n"/>
      <c r="E233" s="21" t="n"/>
      <c r="F233" s="22" t="n"/>
      <c r="H233" s="22" t="n"/>
      <c r="J233" s="23" t="n"/>
      <c r="M233" s="23" t="n"/>
    </row>
    <row r="234">
      <c r="D234" s="21" t="n"/>
      <c r="E234" s="21" t="n"/>
      <c r="F234" s="22" t="n"/>
      <c r="H234" s="22" t="n"/>
      <c r="J234" s="23" t="n"/>
      <c r="M234" s="23" t="n"/>
    </row>
    <row r="235">
      <c r="D235" s="21" t="n"/>
      <c r="E235" s="21" t="n"/>
      <c r="F235" s="22" t="n"/>
      <c r="H235" s="22" t="n"/>
      <c r="J235" s="23" t="n"/>
      <c r="M235" s="23" t="n"/>
    </row>
    <row r="236">
      <c r="D236" s="21" t="n"/>
      <c r="E236" s="21" t="n"/>
      <c r="F236" s="22" t="n"/>
      <c r="H236" s="22" t="n"/>
      <c r="J236" s="23" t="n"/>
      <c r="M236" s="23" t="n"/>
    </row>
    <row r="237">
      <c r="D237" s="21" t="n"/>
      <c r="E237" s="21" t="n"/>
      <c r="F237" s="22" t="n"/>
      <c r="H237" s="22" t="n"/>
      <c r="J237" s="23" t="n"/>
      <c r="M237" s="23" t="n"/>
    </row>
    <row r="238">
      <c r="D238" s="21" t="n"/>
      <c r="E238" s="21" t="n"/>
      <c r="F238" s="22" t="n"/>
      <c r="H238" s="22" t="n"/>
      <c r="J238" s="23" t="n"/>
      <c r="M238" s="23" t="n"/>
    </row>
    <row r="239">
      <c r="D239" s="21" t="n"/>
      <c r="E239" s="21" t="n"/>
      <c r="F239" s="22" t="n"/>
      <c r="H239" s="22" t="n"/>
      <c r="J239" s="23" t="n"/>
      <c r="M239" s="23" t="n"/>
    </row>
    <row r="240">
      <c r="D240" s="21" t="n"/>
      <c r="E240" s="21" t="n"/>
      <c r="F240" s="22" t="n"/>
      <c r="H240" s="22" t="n"/>
      <c r="J240" s="23" t="n"/>
      <c r="M240" s="23" t="n"/>
    </row>
    <row r="241">
      <c r="D241" s="21" t="n"/>
      <c r="E241" s="21" t="n"/>
      <c r="F241" s="22" t="n"/>
      <c r="H241" s="22" t="n"/>
      <c r="J241" s="23" t="n"/>
      <c r="M241" s="23" t="n"/>
    </row>
    <row r="242">
      <c r="D242" s="21" t="n"/>
      <c r="E242" s="21" t="n"/>
      <c r="F242" s="22" t="n"/>
      <c r="H242" s="22" t="n"/>
      <c r="J242" s="23" t="n"/>
      <c r="M242" s="23" t="n"/>
    </row>
    <row r="243">
      <c r="D243" s="21" t="n"/>
      <c r="E243" s="21" t="n"/>
      <c r="F243" s="22" t="n"/>
      <c r="H243" s="22" t="n"/>
      <c r="J243" s="23" t="n"/>
      <c r="M243" s="23" t="n"/>
    </row>
    <row r="244">
      <c r="D244" s="21" t="n"/>
      <c r="E244" s="21" t="n"/>
      <c r="F244" s="22" t="n"/>
      <c r="H244" s="22" t="n"/>
      <c r="J244" s="23" t="n"/>
      <c r="M244" s="23" t="n"/>
    </row>
    <row r="245">
      <c r="D245" s="21" t="n"/>
      <c r="E245" s="21" t="n"/>
      <c r="F245" s="22" t="n"/>
      <c r="H245" s="22" t="n"/>
      <c r="J245" s="23" t="n"/>
      <c r="M245" s="23" t="n"/>
    </row>
    <row r="246">
      <c r="D246" s="21" t="n"/>
      <c r="E246" s="21" t="n"/>
      <c r="F246" s="22" t="n"/>
      <c r="H246" s="22" t="n"/>
      <c r="J246" s="23" t="n"/>
      <c r="M246" s="23" t="n"/>
    </row>
    <row r="247">
      <c r="D247" s="21" t="n"/>
      <c r="E247" s="21" t="n"/>
      <c r="F247" s="22" t="n"/>
      <c r="H247" s="22" t="n"/>
      <c r="J247" s="23" t="n"/>
      <c r="M247" s="23" t="n"/>
    </row>
    <row r="248">
      <c r="D248" s="21" t="n"/>
      <c r="E248" s="21" t="n"/>
      <c r="F248" s="22" t="n"/>
      <c r="H248" s="22" t="n"/>
      <c r="J248" s="23" t="n"/>
      <c r="M248" s="23" t="n"/>
    </row>
    <row r="249">
      <c r="D249" s="21" t="n"/>
      <c r="E249" s="21" t="n"/>
      <c r="F249" s="22" t="n"/>
      <c r="H249" s="22" t="n"/>
      <c r="J249" s="23" t="n"/>
      <c r="M249" s="23" t="n"/>
    </row>
    <row r="250">
      <c r="D250" s="21" t="n"/>
      <c r="E250" s="21" t="n"/>
      <c r="F250" s="22" t="n"/>
      <c r="H250" s="22" t="n"/>
      <c r="J250" s="23" t="n"/>
      <c r="M250" s="23" t="n"/>
    </row>
    <row r="251">
      <c r="D251" s="21" t="n"/>
      <c r="E251" s="21" t="n"/>
      <c r="F251" s="22" t="n"/>
      <c r="H251" s="22" t="n"/>
      <c r="J251" s="23" t="n"/>
      <c r="M251" s="23" t="n"/>
    </row>
    <row r="252">
      <c r="D252" s="21" t="n"/>
      <c r="E252" s="21" t="n"/>
      <c r="F252" s="22" t="n"/>
      <c r="H252" s="22" t="n"/>
      <c r="J252" s="23" t="n"/>
      <c r="M252" s="23" t="n"/>
    </row>
    <row r="253">
      <c r="D253" s="21" t="n"/>
      <c r="E253" s="21" t="n"/>
      <c r="F253" s="22" t="n"/>
      <c r="H253" s="22" t="n"/>
      <c r="J253" s="23" t="n"/>
      <c r="M253" s="23" t="n"/>
    </row>
    <row r="254">
      <c r="D254" s="21" t="n"/>
      <c r="E254" s="21" t="n"/>
      <c r="F254" s="22" t="n"/>
      <c r="H254" s="22" t="n"/>
      <c r="J254" s="23" t="n"/>
      <c r="M254" s="23" t="n"/>
    </row>
    <row r="255">
      <c r="D255" s="21" t="n"/>
      <c r="E255" s="21" t="n"/>
      <c r="F255" s="22" t="n"/>
      <c r="H255" s="22" t="n"/>
      <c r="J255" s="23" t="n"/>
      <c r="M255" s="23" t="n"/>
    </row>
    <row r="256">
      <c r="D256" s="21" t="n"/>
      <c r="E256" s="21" t="n"/>
      <c r="F256" s="22" t="n"/>
      <c r="H256" s="22" t="n"/>
      <c r="J256" s="23" t="n"/>
      <c r="M256" s="23" t="n"/>
    </row>
    <row r="257">
      <c r="D257" s="21" t="n"/>
      <c r="E257" s="21" t="n"/>
      <c r="F257" s="22" t="n"/>
      <c r="H257" s="22" t="n"/>
      <c r="J257" s="23" t="n"/>
      <c r="M257" s="23" t="n"/>
    </row>
    <row r="258">
      <c r="D258" s="21" t="n"/>
      <c r="E258" s="21" t="n"/>
      <c r="F258" s="22" t="n"/>
      <c r="H258" s="22" t="n"/>
      <c r="J258" s="23" t="n"/>
      <c r="M258" s="23" t="n"/>
    </row>
    <row r="259">
      <c r="D259" s="21" t="n"/>
      <c r="E259" s="21" t="n"/>
      <c r="F259" s="22" t="n"/>
      <c r="H259" s="22" t="n"/>
      <c r="J259" s="23" t="n"/>
      <c r="M259" s="23" t="n"/>
    </row>
    <row r="260">
      <c r="D260" s="21" t="n"/>
      <c r="E260" s="21" t="n"/>
      <c r="F260" s="22" t="n"/>
      <c r="H260" s="22" t="n"/>
      <c r="J260" s="23" t="n"/>
      <c r="M260" s="23" t="n"/>
    </row>
    <row r="261">
      <c r="D261" s="21" t="n"/>
      <c r="E261" s="21" t="n"/>
      <c r="F261" s="22" t="n"/>
      <c r="H261" s="22" t="n"/>
      <c r="J261" s="23" t="n"/>
      <c r="M261" s="23" t="n"/>
    </row>
    <row r="262">
      <c r="D262" s="21" t="n"/>
      <c r="E262" s="21" t="n"/>
      <c r="F262" s="22" t="n"/>
      <c r="H262" s="22" t="n"/>
      <c r="J262" s="23" t="n"/>
      <c r="M262" s="23" t="n"/>
    </row>
    <row r="263">
      <c r="D263" s="21" t="n"/>
      <c r="E263" s="21" t="n"/>
      <c r="F263" s="22" t="n"/>
      <c r="H263" s="22" t="n"/>
      <c r="J263" s="23" t="n"/>
      <c r="M263" s="23" t="n"/>
    </row>
    <row r="264">
      <c r="D264" s="21" t="n"/>
      <c r="E264" s="21" t="n"/>
      <c r="F264" s="22" t="n"/>
      <c r="H264" s="22" t="n"/>
      <c r="J264" s="23" t="n"/>
      <c r="M264" s="23" t="n"/>
    </row>
    <row r="265">
      <c r="D265" s="21" t="n"/>
      <c r="E265" s="21" t="n"/>
      <c r="F265" s="22" t="n"/>
      <c r="H265" s="22" t="n"/>
      <c r="J265" s="23" t="n"/>
      <c r="M265" s="23" t="n"/>
    </row>
    <row r="266">
      <c r="D266" s="21" t="n"/>
      <c r="E266" s="21" t="n"/>
      <c r="F266" s="22" t="n"/>
      <c r="H266" s="22" t="n"/>
      <c r="J266" s="23" t="n"/>
      <c r="M266" s="23" t="n"/>
    </row>
    <row r="267">
      <c r="D267" s="21" t="n"/>
      <c r="E267" s="21" t="n"/>
      <c r="F267" s="22" t="n"/>
      <c r="H267" s="22" t="n"/>
      <c r="J267" s="23" t="n"/>
      <c r="M267" s="23" t="n"/>
    </row>
    <row r="268">
      <c r="D268" s="21" t="n"/>
      <c r="E268" s="21" t="n"/>
      <c r="F268" s="22" t="n"/>
      <c r="H268" s="22" t="n"/>
      <c r="J268" s="23" t="n"/>
      <c r="M268" s="23" t="n"/>
    </row>
    <row r="269">
      <c r="D269" s="21" t="n"/>
      <c r="E269" s="21" t="n"/>
      <c r="F269" s="22" t="n"/>
      <c r="H269" s="22" t="n"/>
      <c r="J269" s="23" t="n"/>
      <c r="M269" s="23" t="n"/>
    </row>
    <row r="270">
      <c r="D270" s="21" t="n"/>
      <c r="E270" s="21" t="n"/>
      <c r="F270" s="22" t="n"/>
      <c r="H270" s="22" t="n"/>
      <c r="J270" s="23" t="n"/>
      <c r="M270" s="23" t="n"/>
    </row>
    <row r="271">
      <c r="D271" s="21" t="n"/>
      <c r="E271" s="21" t="n"/>
      <c r="F271" s="22" t="n"/>
      <c r="H271" s="22" t="n"/>
      <c r="J271" s="23" t="n"/>
      <c r="M271" s="23" t="n"/>
    </row>
    <row r="272">
      <c r="D272" s="21" t="n"/>
      <c r="E272" s="21" t="n"/>
      <c r="F272" s="22" t="n"/>
      <c r="H272" s="22" t="n"/>
      <c r="J272" s="23" t="n"/>
      <c r="M272" s="23" t="n"/>
    </row>
    <row r="273">
      <c r="D273" s="21" t="n"/>
      <c r="E273" s="21" t="n"/>
      <c r="F273" s="22" t="n"/>
      <c r="H273" s="22" t="n"/>
      <c r="J273" s="23" t="n"/>
      <c r="M273" s="23" t="n"/>
    </row>
    <row r="274">
      <c r="D274" s="21" t="n"/>
      <c r="E274" s="21" t="n"/>
      <c r="F274" s="22" t="n"/>
      <c r="H274" s="22" t="n"/>
      <c r="J274" s="23" t="n"/>
      <c r="M274" s="23" t="n"/>
    </row>
    <row r="275">
      <c r="D275" s="21" t="n"/>
      <c r="E275" s="21" t="n"/>
      <c r="F275" s="22" t="n"/>
      <c r="H275" s="22" t="n"/>
      <c r="J275" s="23" t="n"/>
      <c r="M275" s="23" t="n"/>
    </row>
    <row r="276">
      <c r="D276" s="21" t="n"/>
      <c r="E276" s="21" t="n"/>
      <c r="F276" s="22" t="n"/>
      <c r="H276" s="22" t="n"/>
      <c r="J276" s="23" t="n"/>
      <c r="M276" s="23" t="n"/>
    </row>
    <row r="277">
      <c r="D277" s="21" t="n"/>
      <c r="E277" s="21" t="n"/>
      <c r="F277" s="22" t="n"/>
      <c r="H277" s="22" t="n"/>
      <c r="J277" s="23" t="n"/>
      <c r="M277" s="23" t="n"/>
    </row>
    <row r="278">
      <c r="D278" s="21" t="n"/>
      <c r="E278" s="21" t="n"/>
      <c r="F278" s="22" t="n"/>
      <c r="H278" s="22" t="n"/>
      <c r="J278" s="23" t="n"/>
      <c r="M278" s="23" t="n"/>
    </row>
    <row r="279">
      <c r="D279" s="21" t="n"/>
      <c r="E279" s="21" t="n"/>
      <c r="F279" s="22" t="n"/>
      <c r="H279" s="22" t="n"/>
      <c r="J279" s="23" t="n"/>
      <c r="M279" s="23" t="n"/>
    </row>
    <row r="280">
      <c r="D280" s="21" t="n"/>
      <c r="E280" s="21" t="n"/>
      <c r="F280" s="22" t="n"/>
      <c r="H280" s="22" t="n"/>
      <c r="J280" s="23" t="n"/>
      <c r="M280" s="23" t="n"/>
    </row>
    <row r="281">
      <c r="D281" s="21" t="n"/>
      <c r="E281" s="21" t="n"/>
      <c r="F281" s="22" t="n"/>
      <c r="H281" s="22" t="n"/>
      <c r="J281" s="23" t="n"/>
      <c r="M281" s="23" t="n"/>
    </row>
    <row r="282">
      <c r="D282" s="21" t="n"/>
      <c r="E282" s="21" t="n"/>
      <c r="F282" s="22" t="n"/>
      <c r="H282" s="22" t="n"/>
      <c r="J282" s="23" t="n"/>
      <c r="M282" s="23" t="n"/>
    </row>
    <row r="283">
      <c r="D283" s="21" t="n"/>
      <c r="E283" s="21" t="n"/>
      <c r="F283" s="22" t="n"/>
      <c r="H283" s="22" t="n"/>
      <c r="J283" s="23" t="n"/>
      <c r="M283" s="23" t="n"/>
    </row>
    <row r="284">
      <c r="D284" s="21" t="n"/>
      <c r="E284" s="21" t="n"/>
      <c r="F284" s="22" t="n"/>
      <c r="H284" s="22" t="n"/>
      <c r="J284" s="23" t="n"/>
      <c r="M284" s="23" t="n"/>
    </row>
    <row r="285">
      <c r="D285" s="21" t="n"/>
      <c r="E285" s="21" t="n"/>
      <c r="F285" s="22" t="n"/>
      <c r="H285" s="22" t="n"/>
      <c r="J285" s="23" t="n"/>
      <c r="M285" s="23" t="n"/>
    </row>
    <row r="286">
      <c r="D286" s="21" t="n"/>
      <c r="E286" s="21" t="n"/>
      <c r="F286" s="22" t="n"/>
      <c r="H286" s="22" t="n"/>
      <c r="J286" s="23" t="n"/>
      <c r="M286" s="23" t="n"/>
    </row>
    <row r="287">
      <c r="D287" s="21" t="n"/>
      <c r="E287" s="21" t="n"/>
      <c r="F287" s="22" t="n"/>
      <c r="H287" s="22" t="n"/>
      <c r="J287" s="23" t="n"/>
      <c r="M287" s="23" t="n"/>
    </row>
    <row r="288">
      <c r="D288" s="21" t="n"/>
      <c r="E288" s="21" t="n"/>
      <c r="F288" s="22" t="n"/>
      <c r="H288" s="22" t="n"/>
      <c r="J288" s="23" t="n"/>
      <c r="M288" s="23" t="n"/>
    </row>
    <row r="289">
      <c r="D289" s="21" t="n"/>
      <c r="E289" s="21" t="n"/>
      <c r="F289" s="22" t="n"/>
      <c r="H289" s="22" t="n"/>
      <c r="J289" s="23" t="n"/>
      <c r="M289" s="23" t="n"/>
    </row>
    <row r="290">
      <c r="D290" s="21" t="n"/>
      <c r="E290" s="21" t="n"/>
      <c r="F290" s="22" t="n"/>
      <c r="H290" s="22" t="n"/>
      <c r="J290" s="23" t="n"/>
      <c r="M290" s="23" t="n"/>
    </row>
    <row r="291">
      <c r="D291" s="21" t="n"/>
      <c r="E291" s="21" t="n"/>
      <c r="F291" s="22" t="n"/>
      <c r="H291" s="22" t="n"/>
      <c r="J291" s="23" t="n"/>
      <c r="M291" s="23" t="n"/>
    </row>
    <row r="292">
      <c r="D292" s="21" t="n"/>
      <c r="E292" s="21" t="n"/>
      <c r="F292" s="22" t="n"/>
      <c r="H292" s="22" t="n"/>
      <c r="J292" s="23" t="n"/>
      <c r="M292" s="23" t="n"/>
    </row>
    <row r="293">
      <c r="D293" s="21" t="n"/>
      <c r="E293" s="21" t="n"/>
      <c r="F293" s="22" t="n"/>
      <c r="H293" s="22" t="n"/>
      <c r="J293" s="23" t="n"/>
      <c r="M293" s="23" t="n"/>
    </row>
    <row r="294">
      <c r="D294" s="21" t="n"/>
      <c r="E294" s="21" t="n"/>
      <c r="F294" s="22" t="n"/>
      <c r="H294" s="22" t="n"/>
      <c r="J294" s="23" t="n"/>
      <c r="M294" s="23" t="n"/>
    </row>
    <row r="295">
      <c r="D295" s="21" t="n"/>
      <c r="E295" s="21" t="n"/>
      <c r="F295" s="22" t="n"/>
      <c r="H295" s="22" t="n"/>
      <c r="J295" s="23" t="n"/>
      <c r="M295" s="23" t="n"/>
    </row>
    <row r="296">
      <c r="D296" s="21" t="n"/>
      <c r="E296" s="21" t="n"/>
      <c r="F296" s="22" t="n"/>
      <c r="H296" s="22" t="n"/>
      <c r="J296" s="23" t="n"/>
      <c r="M296" s="23" t="n"/>
    </row>
    <row r="297">
      <c r="D297" s="21" t="n"/>
      <c r="E297" s="21" t="n"/>
      <c r="F297" s="22" t="n"/>
      <c r="H297" s="22" t="n"/>
      <c r="J297" s="23" t="n"/>
      <c r="M297" s="23" t="n"/>
    </row>
    <row r="298">
      <c r="D298" s="21" t="n"/>
      <c r="E298" s="21" t="n"/>
      <c r="F298" s="22" t="n"/>
      <c r="H298" s="22" t="n"/>
      <c r="J298" s="23" t="n"/>
      <c r="M298" s="23" t="n"/>
    </row>
    <row r="299">
      <c r="D299" s="21" t="n"/>
      <c r="E299" s="21" t="n"/>
      <c r="F299" s="22" t="n"/>
      <c r="H299" s="22" t="n"/>
      <c r="J299" s="23" t="n"/>
      <c r="M299" s="23" t="n"/>
    </row>
    <row r="300">
      <c r="D300" s="21" t="n"/>
      <c r="E300" s="21" t="n"/>
      <c r="F300" s="22" t="n"/>
      <c r="H300" s="22" t="n"/>
      <c r="J300" s="23" t="n"/>
      <c r="M300" s="23" t="n"/>
    </row>
  </sheetData>
  <mergeCells count="2">
    <mergeCell ref="A2:N2"/>
    <mergeCell ref="A1:N1"/>
  </mergeCells>
  <dataValidations count="3">
    <dataValidation sqref="B6:B300" showDropDown="0" showInputMessage="0" showErrorMessage="0" allowBlank="1" type="list">
      <formula1>"1,2,3"</formula1>
    </dataValidation>
    <dataValidation sqref="C6:C300" showDropDown="0" showInputMessage="0" showErrorMessage="0" allowBlank="1" type="list">
      <formula1>"Property Mgmt,CRE Broker,MSP,TI Electrical/GC,Platform,Bid Board,Vendor Program,DC Integrator/Staffing"</formula1>
    </dataValidation>
    <dataValidation sqref="K6:K300" showDropDown="0" showInputMessage="0" showErrorMessage="0" allowBlank="1" type="list">
      <formula1>"Not Contacted,Contacted,Follow-up Scheduled,Quoted,Won,Lost"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30" customWidth="1" min="4" max="4"/>
    <col width="46" customWidth="1" min="5" max="5"/>
  </cols>
  <sheetData>
    <row r="1">
      <c r="A1" s="1" t="inlineStr">
        <is>
          <t>Weekly Call Rotation</t>
        </is>
      </c>
    </row>
    <row r="2" ht="30" customHeight="1">
      <c r="A2" s="10" t="inlineStr">
        <is>
          <t>10 calls/week minimum, weighted toward where the work actually is right now. Log every call in the Pipeline tab same day — this table's weighting shifts if a channel proves out or goes cold.</t>
        </is>
      </c>
    </row>
    <row r="4">
      <c r="A4" s="11" t="inlineStr">
        <is>
          <t>Day</t>
        </is>
      </c>
      <c r="B4" s="11" t="inlineStr">
        <is>
          <t>Calls</t>
        </is>
      </c>
      <c r="C4" s="11" t="inlineStr">
        <is>
          <t>Primary Channel</t>
        </is>
      </c>
      <c r="D4" s="11" t="inlineStr">
        <is>
          <t>Secondary / Backup</t>
        </is>
      </c>
      <c r="E4" s="11" t="inlineStr">
        <is>
          <t>Why this day</t>
        </is>
      </c>
    </row>
    <row r="5" ht="42" customHeight="1">
      <c r="A5" s="12" t="inlineStr">
        <is>
          <t>Monday</t>
        </is>
      </c>
      <c r="B5" s="12" t="n">
        <v>3</v>
      </c>
      <c r="C5" s="12" t="inlineStr">
        <is>
          <t>Property Managers</t>
        </is>
      </c>
      <c r="D5" s="12" t="inlineStr">
        <is>
          <t>CRE Brokers</t>
        </is>
      </c>
      <c r="E5" s="12" t="inlineStr">
        <is>
          <t>Start the week on the highest-value recurring channel — TI/MAC work from repositioning buildings.</t>
        </is>
      </c>
    </row>
    <row r="6" ht="42" customHeight="1">
      <c r="A6" s="18" t="inlineStr">
        <is>
          <t>Tuesday</t>
        </is>
      </c>
      <c r="B6" s="18" t="n">
        <v>3</v>
      </c>
      <c r="C6" s="18" t="inlineStr">
        <is>
          <t>MSPs</t>
        </is>
      </c>
      <c r="D6" s="18" t="inlineStr">
        <is>
          <t>Vendor Programs</t>
        </is>
      </c>
      <c r="E6" s="18" t="inlineStr">
        <is>
          <t>MSPs convert fastest into repeat sub relationships — call while the week is fresh for them too.</t>
        </is>
      </c>
    </row>
    <row r="7" ht="42" customHeight="1">
      <c r="A7" s="12" t="inlineStr">
        <is>
          <t>Wednesday</t>
        </is>
      </c>
      <c r="B7" s="12" t="n">
        <v>2</v>
      </c>
      <c r="C7" s="12" t="inlineStr">
        <is>
          <t>TI Electrical / GC contacts</t>
        </is>
      </c>
      <c r="D7" s="12" t="inlineStr">
        <is>
          <t>Property Managers (follow-up)</t>
        </is>
      </c>
      <c r="E7" s="12" t="inlineStr">
        <is>
          <t>Electrical contractors sub out low-voltage on the TI jobs the office market is generating right now.</t>
        </is>
      </c>
    </row>
    <row r="8" ht="42" customHeight="1">
      <c r="A8" s="18" t="inlineStr">
        <is>
          <t>Thursday</t>
        </is>
      </c>
      <c r="B8" s="18" t="n">
        <v>1</v>
      </c>
      <c r="C8" s="18" t="inlineStr">
        <is>
          <t>CRE Brokers</t>
        </is>
      </c>
      <c r="D8" s="18" t="inlineStr">
        <is>
          <t>DC Integrator/Staffing (Tier 3 seeding)</t>
        </is>
      </c>
      <c r="E8" s="18" t="inlineStr">
        <is>
          <t>Brokers for repositioning intel; one Tier-3 relationship call to keep the Year 2 data-center pipeline warm.</t>
        </is>
      </c>
    </row>
    <row r="9" ht="42" customHeight="1">
      <c r="A9" s="12" t="inlineStr">
        <is>
          <t>Friday</t>
        </is>
      </c>
      <c r="B9" s="12" t="n">
        <v>1</v>
      </c>
      <c r="C9" s="12" t="inlineStr">
        <is>
          <t>Warmest open follow-up</t>
        </is>
      </c>
      <c r="D9" s="12" t="inlineStr">
        <is>
          <t>Admin: bid board registration/monitoring, update Pipeline &amp; Dashboard</t>
        </is>
      </c>
      <c r="E9" s="12" t="inlineStr">
        <is>
          <t>Close the loop on anyone warm; keep the system itself current so next week's refresh has real data to learn from.</t>
        </is>
      </c>
    </row>
    <row r="12">
      <c r="A12" s="3" t="inlineStr">
        <is>
          <t>Total</t>
        </is>
      </c>
      <c r="B12" s="24">
        <f>SUM(B5:B9)</f>
        <v/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2026-08-12T23:06:34Z</dcterms:created>
  <dcterms:modified xmlns:dcterms="http://purl.org/dc/terms/" xmlns:xsi="http://www.w3.org/2001/XMLSchema-instance" xsi:type="dcterms:W3CDTF">2026-08-12T23:06:34Z</dcterms:modified>
</cp:coreProperties>
</file>