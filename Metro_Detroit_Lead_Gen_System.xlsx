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hannel Performance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ipeline" sheetId="4" state="visible" r:id="rId4"/>
    <sheet xmlns:r="http://schemas.openxmlformats.org/officeDocument/2006/relationships" name="Weekly Call Rot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9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i val="1"/>
      <color rgb="00616E7C"/>
      <sz val="10"/>
    </font>
    <font>
      <name val="Arial"/>
      <b val="1"/>
      <color rgb="001F2933"/>
      <sz val="11"/>
    </font>
    <font>
      <name val="Arial"/>
      <color rgb="001F2933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color rgb="001F6F3F"/>
      <sz val="14"/>
    </font>
    <font>
      <name val="Arial"/>
      <b val="1"/>
      <color rgb="001F6F3F"/>
      <sz val="13"/>
    </font>
  </fonts>
  <fills count="8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2E5266"/>
      </patternFill>
    </fill>
    <fill>
      <patternFill patternType="solid">
        <fgColor rgb="00E2F0D9"/>
      </patternFill>
    </fill>
    <fill>
      <patternFill patternType="solid">
        <fgColor rgb="00F2F4F6"/>
      </patternFill>
    </fill>
    <fill>
      <patternFill patternType="solid">
        <fgColor rgb="00DCEBF7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D3D9DE"/>
      </left>
      <right style="thin">
        <color rgb="00D3D9DE"/>
      </right>
      <top style="thin">
        <color rgb="00D3D9DE"/>
      </top>
      <bottom style="thin">
        <color rgb="00D3D9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2" borderId="1" pivotButton="0" quotePrefix="0" xfId="0"/>
    <xf numFmtId="0" fontId="6" fillId="3" borderId="1" applyAlignment="1" pivotButton="0" quotePrefix="0" xfId="0">
      <alignment vertical="center" wrapText="1"/>
    </xf>
    <xf numFmtId="0" fontId="4" fillId="0" borderId="1" pivotButton="0" quotePrefix="0" xfId="0"/>
    <xf numFmtId="9" fontId="4" fillId="2" borderId="1" pivotButton="0" quotePrefix="0" xfId="0"/>
    <xf numFmtId="0" fontId="4" fillId="4" borderId="1" pivotButton="0" quotePrefix="0" xfId="0"/>
    <xf numFmtId="9" fontId="4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5" borderId="1" pivotButton="0" quotePrefix="0" xfId="0"/>
    <xf numFmtId="9" fontId="4" fillId="5" borderId="1" pivotButton="0" quotePrefix="0" xfId="0"/>
    <xf numFmtId="0" fontId="4" fillId="5" borderId="1" applyAlignment="1" pivotButton="0" quotePrefix="0" xfId="0">
      <alignment vertical="top" wrapText="1"/>
    </xf>
    <xf numFmtId="0" fontId="6" fillId="3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  <xf numFmtId="0" fontId="8" fillId="0" borderId="0" pivotButton="0" quotePrefix="0" xfId="0"/>
    <xf numFmtId="0" fontId="4" fillId="0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2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/>
    </xf>
    <xf numFmtId="164" fontId="4" fillId="7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2" fontId="4" fillId="5" borderId="1" applyAlignment="1" pivotButton="0" quotePrefix="0" xfId="0">
      <alignment vertical="top"/>
    </xf>
    <xf numFmtId="164" fontId="4" fillId="5" borderId="1" applyAlignment="1" pivotButton="0" quotePrefix="0" xfId="0">
      <alignment vertical="top"/>
    </xf>
    <xf numFmtId="0" fontId="0" fillId="6" borderId="0" pivotButton="0" quotePrefix="0" xfId="0"/>
    <xf numFmtId="2" fontId="0" fillId="4" borderId="0" pivotButton="0" quotePrefix="0" xfId="0"/>
    <xf numFmtId="0" fontId="0" fillId="4" borderId="0" pivotButton="0" quotePrefix="0" xfId="0"/>
    <xf numFmtId="0" fontId="0" fillId="7" borderId="0" pivotButton="0" quotePrefix="0" xfId="0"/>
    <xf numFmtId="164" fontId="0" fillId="7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6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Metro Detroit Lead Gen System — Low-Voltage / Structured Cabling</t>
        </is>
      </c>
    </row>
    <row r="3">
      <c r="B3" s="2" t="inlineStr">
        <is>
          <t>Built Aug 2026 · adaptive scoring, refreshed weekly, self-updating as you log outcomes</t>
        </is>
      </c>
    </row>
    <row r="5">
      <c r="B5" s="3" t="inlineStr">
        <is>
          <t>How this workbook works</t>
        </is>
      </c>
    </row>
    <row r="6" ht="30" customHeight="1">
      <c r="B6" s="4" t="inlineStr">
        <is>
          <t>•  Pipeline tab is the CRM you work from daily — every company you contact gets one row.</t>
        </is>
      </c>
    </row>
    <row r="7" ht="30" customHeight="1">
      <c r="B7" s="4" t="inlineStr">
        <is>
          <t>•  Yellow cells = you fill in (Contact Name, Email, Last Contact Date, Next Action Date — Phone/Website are populated by research when public, but a named contact's direct line/email is usually gatekept, so you'll typically get those on the first call). Blue cells = judgment calls set once when a lead is added (Base Fit, Service Match, Likely Service Need, Evidence). Green cells = live formulas that recalculate the instant you change a Status — no waiting for the weekly refresh.</t>
        </is>
      </c>
    </row>
    <row r="8" ht="30" customHeight="1">
      <c r="B8" s="4" t="inlineStr">
        <is>
          <t>•  Service Match tags each lead against your actual work types (Fiber, Copper/Structured Cabling, Decommissions, Network Setup, Security Camera &amp; Access Control, Cloud/IT Support) so you can tell a generically-good-fit lead from one that actually needs what you do.</t>
        </is>
      </c>
    </row>
    <row r="9" ht="30" customHeight="1">
      <c r="B9" s="4" t="inlineStr">
        <is>
          <t>•  Evidence is the specific, cited reason a lead was added — a job posting, a named project, a prequalification portal — not just 'right category, right region.' Most of the original seed list is honestly labeled 'Category match only' — read that as lower-confidence than a lead with a real citation, and treat the discovery call as verification, not a formality.</t>
        </is>
      </c>
    </row>
    <row r="10" ht="30" customHeight="1">
      <c r="B10" s="4" t="inlineStr">
        <is>
          <t>•  Channel Performance tab is the engine: it tracks real win/loss outcomes per channel and turns them into a multiplier + a Confidence label that adjusts every lead's score automatically.</t>
        </is>
      </c>
    </row>
    <row r="11" ht="30" customHeight="1">
      <c r="B11" s="4" t="inlineStr">
        <is>
          <t>•  Weekly Call Rotation tells you which channel to call each day — its weighting is meant to be revisited monthly against Channel Performance, not just left on autopilot forever.</t>
        </is>
      </c>
    </row>
    <row r="12"/>
    <row r="13">
      <c r="B13" s="3" t="inlineStr">
        <is>
          <t>The scoring algorithm, in full</t>
        </is>
      </c>
    </row>
    <row r="14" ht="30" customHeight="1">
      <c r="B14" s="4" t="inlineStr">
        <is>
          <t>•  Lead Score = Base Fit × Channel Multiplier, clipped to 1-10.</t>
        </is>
      </c>
    </row>
    <row r="15" ht="30" customHeight="1">
      <c r="B15" s="4" t="inlineStr">
        <is>
          <t>•  Base Fit (1-10, set once per lead): a weighted blend of Recurring Revenue Potential (35%), Deal Size (25%), Urgency Signal (20%), and Access Ease (20%) — company-level attributes that don't depend on which channel found them.</t>
        </is>
      </c>
    </row>
    <row r="16" ht="30" customHeight="1">
      <c r="B16" s="4" t="inlineStr">
        <is>
          <t>•  Channel Multiplier (live, 0.6x-1.4x): derived from that channel's Smoothed Win Rate on the Channel Performance tab. Formula: 0.6 + 0.8 × SmoothedWinRate.</t>
        </is>
      </c>
    </row>
    <row r="17" ht="30" customHeight="1">
      <c r="B17" s="4" t="inlineStr">
        <is>
          <t>•  Smoothed Win Rate = (Prior×K + Wins) / (K + Attempts) — empirical Bayesian smoothing, the standard fix for 'not enough data yet.' With few real attempts, the channel's score stays close to its documented starting Prior; as real Won/Lost outcomes accumulate, the smoothed rate shifts toward what's actually happening in your pipeline. K=5 means roughly 5 real attempts in a channel before your own results start to outweigh the starting assumption.</t>
        </is>
      </c>
    </row>
    <row r="18" ht="30" customHeight="1">
      <c r="B18" s="4" t="inlineStr">
        <is>
          <t>•  No channel's multiplier ever drops to zero (floor 0.6x) — this is a deliberate explore/exploit design (the same logic behind multi-armed-bandit / Thompson-sampling approaches to the cold-start problem): concentrate effort on what's proven without ever fully abandoning a channel you haven't tested enough yet.</t>
        </is>
      </c>
    </row>
    <row r="19" ht="30" customHeight="1">
      <c r="B19" s="4" t="inlineStr">
        <is>
          <t>•  Channel Confidence (new): a plain-language label — 'No data', 'Low', 'Building', 'High' — based on Evidence Share = Attempts / (Attempts + K), i.e. how much of the Smoothed Win Rate is real data vs. the starting Prior. A high Lead Score backed by 'Low' confidence is still mostly a guess; don't over-react to it either direction until Confidence climbs.</t>
        </is>
      </c>
    </row>
    <row r="20"/>
    <row r="21">
      <c r="B21" s="3" t="inlineStr">
        <is>
          <t>Why these starting priors</t>
        </is>
      </c>
    </row>
    <row r="22" ht="30" customHeight="1">
      <c r="B22" s="4" t="inlineStr">
        <is>
          <t>•  Referrals convert 3-25x better than cold outbound across multiple B2B and construction-specific studies — referred leads ~25-26% vs. cold-list ~1.5-2% (Landbase/SyncGTM 2026); contractor referrals close at 3-4x cold-lead rates and the strongest firms trace 30-40% of revenue to a handful of repeat referral partners (FullEnrich, Datalane 2026). General B2B cold calling benchmarks around 9.4% (SalesHive 2026).</t>
        </is>
      </c>
    </row>
    <row r="23" ht="30" customHeight="1">
      <c r="B23" s="4" t="inlineStr">
        <is>
          <t>•  None of this is measured data for low-voltage cabling subcontracting specifically — that dataset doesn't exist publicly. Treat every Prior on the Channel Performance tab as an informed starting assumption, not a fact. It's designed to be overridden by your own results.</t>
        </is>
      </c>
    </row>
    <row r="24"/>
    <row r="25">
      <c r="B25" s="3" t="inlineStr">
        <is>
          <t>How the weekly refresh works (the actual 'learning' loop)</t>
        </is>
      </c>
    </row>
    <row r="26" ht="30" customHeight="1">
      <c r="B26" s="4" t="inlineStr">
        <is>
          <t>•  Every Monday morning I re-research the market for new signals — new bid postings, office leasing/repositioning news, MSP hiring activity, data-center vendor windows — and append newly-found, real prospects (never invented ones) with a Base Fit score and Likely Service Need.</t>
        </is>
      </c>
    </row>
    <row r="27" ht="30" customHeight="1">
      <c r="B27" s="4" t="inlineStr">
        <is>
          <t>•  I don't set Lead Score or Channel Multiplier directly — those are live formulas that already reflect your accumulated outcomes the moment you log a Status. The weekly refresh's job is sourcing new leads and logging what changed in WEEKLY_LOG.md, not recomputing scores by hand.</t>
        </is>
      </c>
    </row>
    <row r="28" ht="30" customHeight="1">
      <c r="B28" s="4" t="inlineStr">
        <is>
          <t>•  This only works if you log Won/Lost honestly as you go. An unworked lead sitting at 'Not Contacted' contributes nothing to Channel Performance — the system only gets smarter from real attempts.</t>
        </is>
      </c>
    </row>
    <row r="29"/>
    <row r="30">
      <c r="B30" s="3" t="inlineStr">
        <is>
          <t>Why this targeting, in one paragraph</t>
        </is>
      </c>
    </row>
    <row r="31" ht="30" customHeight="1">
      <c r="B31" s="4" t="inlineStr">
        <is>
          <t>•  Metro Detroit's office market is bifurcating: buildings that invested in modern systems are leasing, buildings that didn't are sitting empty (CoStar/Newmark Detroit office reports, Q2 2026). That flight-to-quality drives tenant-improvement and repositioning work in existing Class A/B buildings — not ground-up construction. That's small-to-mid, solo-winnable cabling work, and it's why property managers, MSPs, and TI electrical contractors are Tier 1.</t>
        </is>
      </c>
    </row>
    <row r="32" ht="30" customHeight="1">
      <c r="B32" s="4" t="inlineStr">
        <is>
          <t>•  The hyperscale data-center wave (Saline Barn $16B groundbreaking June 1 2026, Lyon Township, Van Buren Township) is real and validates the Year 2-3 thesis, but these are union-GC megaprojects run by firms like Walbridge. A solo op doesn't walk onto those directly — you get in via staffing/integrator pipelines and certifications, built starting now. That's why it's Tier 3, not Tier 1.</t>
        </is>
      </c>
    </row>
    <row r="33" ht="30" customHeight="1">
      <c r="B33" s="4" t="inlineStr">
        <is>
          <t>•  At least 19 Michigan municipalities have data-center moratoriums in play (Bridge Michigan, 2026) — treat DC work as upside you're seeding, not revenue you're planning around this year.</t>
        </is>
      </c>
    </row>
    <row r="34"/>
    <row r="35">
      <c r="B35" s="3" t="inlineStr">
        <is>
          <t>How larger companies find these leads — and what's worth copying at your scale</t>
        </is>
      </c>
    </row>
    <row r="36" ht="30" customHeight="1">
      <c r="B36" s="4" t="inlineStr">
        <is>
          <t>•  Trade association membership + events (BOMA, IREM) — the single highest-leverage channel found. BOMA International is the trade association for commercial building owners/managers; BOMA Metro Detroit runs a Trade Fair at Eastern Market plus regular networking events. IREM Michigan (Chapter 5, SE Michigan) runs its own events including a Sporting Clays Classic. Vendor/associate membership puts you in a room with your exact Tier 1 buyer, repeatedly, instead of cold-calling them one at a time. Added both as Pipeline leads under a new 'Association/Networking' channel — membership cost isn't published, call to get it.</t>
        </is>
      </c>
    </row>
    <row r="37" ht="30" customHeight="1">
      <c r="B37" s="4" t="inlineStr">
        <is>
          <t>•  GC prequalification portals — large GCs (Barton Malow confirmed via BuildingConnected) don't wait for subs to call; they vet and list subs proactively through a prequalification portal, then call from that list when work comes up. Get prequalified before you need the work, not after. Added Barton Malow and DeMaria as real TI Electrical/GC leads — this channel had zero named companies before this pass.</t>
        </is>
      </c>
    </row>
    <row r="38" ht="30" customHeight="1">
      <c r="B38" s="4" t="inlineStr">
        <is>
          <t>•  Local SEO / Google Business Profile — larger contractors invest here because commercial buyers do search generically ('office cabling contractor Detroit,' 'structured cabling Southfield'). Low-cost, worth doing regardless of scale: claim and fully fill out a Google Business Profile, collect reviews as jobs complete. Not built into this workbook — it's a one-time setup task, not a lead source to track as a row.</t>
        </is>
      </c>
    </row>
    <row r="39" ht="30" customHeight="1">
      <c r="B39" s="4" t="inlineStr">
        <is>
          <t>•  Case studies / portfolio content — bigger firms publish before/after project photos and testimonials to shortcut the trust-building property managers need before handing over a building. Worth starting once you have 2-3 completed jobs to show; not useful before then.</t>
        </is>
      </c>
    </row>
    <row r="40" ht="30" customHeight="1">
      <c r="B40" s="4" t="inlineStr">
        <is>
          <t>•  Manufacturer certified-installer directories — already covered by the Vendor Program leads (Leviton/CommScope/Panduit/Corning, Verkada/Ubiquiti): certification gets you listed in a public installer-locator page, which is itself a passive lead channel, not just a warranty-referral mechanism.</t>
        </is>
      </c>
    </row>
    <row r="41" ht="30" customHeight="1">
      <c r="B41" s="4" t="inlineStr">
        <is>
          <t>•  Paid lead-gen/marketing agencies (e.g. agencies that run outbound campaigns or manage ads for contractors) — larger companies use these, but they're a real ongoing cost and assume you already have the capacity to handle a lead surge. Not recommended at your current stage; revisit once revenue supports the spend.</t>
        </is>
      </c>
    </row>
    <row r="42"/>
    <row r="43">
      <c r="B43" s="3" t="inlineStr">
        <is>
          <t>Sources</t>
        </is>
      </c>
    </row>
    <row r="44" ht="30" customHeight="1">
      <c r="B44" s="4" t="inlineStr">
        <is>
          <t>•  ENR — 'Record $16B Data Center Project Advances in Michigan' — enr.com/articles/63087-record-16b-data-center-project-advances-in-michigan</t>
        </is>
      </c>
    </row>
    <row r="45" ht="30" customHeight="1">
      <c r="B45" s="4" t="inlineStr">
        <is>
          <t>•  Bridge Michigan — 'Data centers eyed in at least 10 Michigan towns' — bridgemi.com/michigan-environment-watch/data-centers-eyed-in-at-least-10-michigan-towns-how-they-might-change-state</t>
        </is>
      </c>
    </row>
    <row r="46" ht="30" customHeight="1">
      <c r="B46" s="4" t="inlineStr">
        <is>
          <t>•  SalesHive — 'B2B Sales Cold Calling Benchmarks for B2B Sales Teams (2026)' — saleshive.com/blog/b2b-sales-cold-calling-benchmarks-teams-2025</t>
        </is>
      </c>
    </row>
    <row r="47" ht="30" customHeight="1">
      <c r="B47" s="4" t="inlineStr">
        <is>
          <t>•  Landbase — '35 B2B Sales Statistics' — landbase.com/blog/b2b-sales-statistics</t>
        </is>
      </c>
    </row>
    <row r="48" ht="30" customHeight="1">
      <c r="B48" s="4" t="inlineStr">
        <is>
          <t>•  SyncGTM — 'How Much B2B Sales Happens on Referral' — syncgtm.com/blog/how-much-b2b-sales-happens-on-referral</t>
        </is>
      </c>
    </row>
    <row r="49" ht="30" customHeight="1">
      <c r="B49" s="4" t="inlineStr">
        <is>
          <t>•  FullEnrich — 'Lead Generation for Construction Companies' — fullenrich.com/content/lead-generation-for-construction-companies</t>
        </is>
      </c>
    </row>
    <row r="50" ht="30" customHeight="1">
      <c r="B50" s="4" t="inlineStr">
        <is>
          <t>•  Datalane — 'Construction Company Leads and Contractor Lead Generation' — datalane.com/post/construction-company-leads</t>
        </is>
      </c>
    </row>
    <row r="51" ht="30" customHeight="1">
      <c r="B51" s="4" t="inlineStr">
        <is>
          <t>•  BOMA International / BOMA Metro Detroit — boma.org, bomadet.org/membership</t>
        </is>
      </c>
    </row>
    <row r="52" ht="30" customHeight="1">
      <c r="B52" s="4" t="inlineStr">
        <is>
          <t>•  IREM Michigan (Chapter 5) — iremmi5.org</t>
        </is>
      </c>
    </row>
    <row r="53" ht="30" customHeight="1">
      <c r="B53" s="4" t="inlineStr">
        <is>
          <t>•  Barton Malow subcontractor/vendor resources (BuildingConnected prequalification) — bartonmalow.com/subcontractors</t>
        </is>
      </c>
    </row>
    <row r="54" ht="30" customHeight="1">
      <c r="B54" s="4" t="inlineStr">
        <is>
          <t>•  ConstructConnect — 'Where General Contractors Post Commercial Construction Opportunities' and '6 Keys to Subcontractor Prequalification Success' — constructconnect.com/blog</t>
        </is>
      </c>
    </row>
    <row r="55" ht="30" customHeight="1">
      <c r="B55" s="4" t="inlineStr">
        <is>
          <t>•  Company contact details in Pipeline pulled directly from each company's own website, Aug 2026 — verify before high-stakes outreach.</t>
        </is>
      </c>
    </row>
    <row r="56"/>
    <row r="57">
      <c r="B57" s="3" t="inlineStr">
        <is>
          <t>Weekly rhythm</t>
        </is>
      </c>
    </row>
    <row r="58" ht="30" customHeight="1">
      <c r="B58" s="4" t="inlineStr">
        <is>
          <t>•  10 outbound calls/week minimum, weighted by the Weekly Call Rotation tab. Same-hour follow-up on anything warm: capabilities sheet + COI by email — see the Outreach Toolkit doc for scripts and templates.</t>
        </is>
      </c>
    </row>
    <row r="59" ht="30" customHeight="1">
      <c r="B59" s="4" t="inlineStr">
        <is>
          <t>•  Friday = admin block: register/monitor bid boards, update Pipeline statuses, log the week's contacts so Channel Performance has real data to work with.</t>
        </is>
      </c>
    </row>
    <row r="60"/>
  </sheetData>
  <mergeCells count="58">
    <mergeCell ref="B7:I7"/>
    <mergeCell ref="B25:I25"/>
    <mergeCell ref="B47:I47"/>
    <mergeCell ref="B16:I16"/>
    <mergeCell ref="B54:I54"/>
    <mergeCell ref="B59:I59"/>
    <mergeCell ref="B22:I22"/>
    <mergeCell ref="B31:I31"/>
    <mergeCell ref="B46:I46"/>
    <mergeCell ref="B27:I27"/>
    <mergeCell ref="B43:I43"/>
    <mergeCell ref="B12:I12"/>
    <mergeCell ref="B18:I18"/>
    <mergeCell ref="B56:I56"/>
    <mergeCell ref="B52:I52"/>
    <mergeCell ref="B21:I21"/>
    <mergeCell ref="B48:I48"/>
    <mergeCell ref="B58:I58"/>
    <mergeCell ref="B39:I39"/>
    <mergeCell ref="B11:I11"/>
    <mergeCell ref="B42:I42"/>
    <mergeCell ref="B14:I14"/>
    <mergeCell ref="B60:I60"/>
    <mergeCell ref="B23:I23"/>
    <mergeCell ref="B3:H3"/>
    <mergeCell ref="B57:I57"/>
    <mergeCell ref="B8:I8"/>
    <mergeCell ref="B17:I17"/>
    <mergeCell ref="B13:I13"/>
    <mergeCell ref="B35:I35"/>
    <mergeCell ref="B44:I44"/>
    <mergeCell ref="B53:I53"/>
    <mergeCell ref="B29:I29"/>
    <mergeCell ref="B38:I38"/>
    <mergeCell ref="B34:I34"/>
    <mergeCell ref="B10:I10"/>
    <mergeCell ref="B28:I28"/>
    <mergeCell ref="B2:H2"/>
    <mergeCell ref="B19:I19"/>
    <mergeCell ref="B37:I37"/>
    <mergeCell ref="B49:I49"/>
    <mergeCell ref="B40:I40"/>
    <mergeCell ref="B9:I9"/>
    <mergeCell ref="B30:I30"/>
    <mergeCell ref="B15:I15"/>
    <mergeCell ref="B33:I33"/>
    <mergeCell ref="B55:I55"/>
    <mergeCell ref="B6:I6"/>
    <mergeCell ref="B24:I24"/>
    <mergeCell ref="B51:I51"/>
    <mergeCell ref="B20:I20"/>
    <mergeCell ref="B5:I5"/>
    <mergeCell ref="B36:I36"/>
    <mergeCell ref="B45:I45"/>
    <mergeCell ref="B41:I41"/>
    <mergeCell ref="B32:I32"/>
    <mergeCell ref="B50:I50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8" customWidth="1" min="5" max="5"/>
    <col width="12" customWidth="1" min="6" max="6"/>
    <col width="15" customWidth="1" min="7" max="7"/>
    <col width="11" customWidth="1" min="8" max="8"/>
    <col width="13" customWidth="1" min="9" max="9"/>
    <col width="26" customWidth="1" min="10" max="10"/>
    <col width="55" customWidth="1" min="11" max="11"/>
  </cols>
  <sheetData>
    <row r="1">
      <c r="A1" s="1" t="inlineStr">
        <is>
          <t>Channel Performance — Adaptive Scoring Engine</t>
        </is>
      </c>
    </row>
    <row r="2" ht="30" customHeight="1">
      <c r="A2" s="5" t="inlineStr">
        <is>
          <t>This table drives the Channel Multiplier + Confidence in Pipeline. Orange = editable assumption. Green = live, computed from your logged outcomes. Don't need to touch this tab — just log Status honestly in Pipeline.</t>
        </is>
      </c>
    </row>
    <row r="4">
      <c r="A4" s="3" t="inlineStr">
        <is>
          <t>Smoothing constant (K)</t>
        </is>
      </c>
      <c r="C4" s="6" t="n">
        <v>5</v>
      </c>
      <c r="D4" s="4" t="inlineStr">
        <is>
          <t>Real attempts in a channel before your results start outweighing the starting Prior. Raise it to trust priors longer; lower it to trust your own data sooner. Also the scale for Confidence, below: Evidence Share = Attempts / (Attempts + K).</t>
        </is>
      </c>
    </row>
    <row r="6">
      <c r="A6" s="7" t="inlineStr">
        <is>
          <t>Channel</t>
        </is>
      </c>
      <c r="B6" s="7" t="inlineStr">
        <is>
          <t>Prior Win Rate</t>
        </is>
      </c>
      <c r="C6" s="7" t="inlineStr">
        <is>
          <t>Attempts</t>
        </is>
      </c>
      <c r="D6" s="7" t="inlineStr">
        <is>
          <t>Won</t>
        </is>
      </c>
      <c r="E6" s="7" t="inlineStr">
        <is>
          <t>Lost</t>
        </is>
      </c>
      <c r="F6" s="7" t="inlineStr">
        <is>
          <t>Raw Win Rate</t>
        </is>
      </c>
      <c r="G6" s="7" t="inlineStr">
        <is>
          <t>Smoothed Win Rate</t>
        </is>
      </c>
      <c r="H6" s="7" t="inlineStr">
        <is>
          <t>Multiplier</t>
        </is>
      </c>
      <c r="I6" s="7" t="inlineStr">
        <is>
          <t>Evidence Share</t>
        </is>
      </c>
      <c r="J6" s="7" t="inlineStr">
        <is>
          <t>Confidence</t>
        </is>
      </c>
      <c r="K6" s="7" t="inlineStr">
        <is>
          <t>Source / Rationale</t>
        </is>
      </c>
    </row>
    <row r="7">
      <c r="A7" s="8" t="inlineStr">
        <is>
          <t>Property Mgmt</t>
        </is>
      </c>
      <c r="B7" s="9" t="n">
        <v>0.12</v>
      </c>
      <c r="C7" s="10">
        <f>SUMPRODUCT((Pipeline!$C$6:$C$300=A7)*(Pipeline!$P$6:$P$300&lt;&gt;"Not Contacted")*(Pipeline!$P$6:$P$300&lt;&gt;""))</f>
        <v/>
      </c>
      <c r="D7" s="10">
        <f>COUNTIFS(Pipeline!$C$6:$C$300,A7,Pipeline!$P$6:$P$300,"Won")</f>
        <v/>
      </c>
      <c r="E7" s="10">
        <f>COUNTIFS(Pipeline!$C$6:$C$300,A7,Pipeline!$P$6:$P$300,"Lost")</f>
        <v/>
      </c>
      <c r="F7" s="11">
        <f>IFERROR(D7/C7,0)</f>
        <v/>
      </c>
      <c r="G7" s="11">
        <f>(B7*$C$4+D7)/($C$4+C7)</f>
        <v/>
      </c>
      <c r="H7" s="10">
        <f>ROUND(0.6+0.8*G7,2)</f>
        <v/>
      </c>
      <c r="I7" s="11">
        <f>C7/(C7+$C$4)</f>
        <v/>
      </c>
      <c r="J7" s="10">
        <f>IF(C7=0,"No data — pure prior",IF(I7&lt;0.25,"Low — mostly prior",IF(I7&lt;0.5,"Building — prior still meaningful","High — mostly real data")))</f>
        <v/>
      </c>
      <c r="K7" s="12" t="inlineStr">
        <is>
          <t>Cold outbound to a named decision-maker; anchored above generic SDR cold-call benchmark (~9.4%, SalesHive 2026) since it's a targeted local pitch.</t>
        </is>
      </c>
    </row>
    <row r="8">
      <c r="A8" s="13" t="inlineStr">
        <is>
          <t>CRE Broker</t>
        </is>
      </c>
      <c r="B8" s="14" t="n">
        <v>0.2</v>
      </c>
      <c r="C8" s="13">
        <f>SUMPRODUCT((Pipeline!$C$6:$C$300=A8)*(Pipeline!$P$6:$P$300&lt;&gt;"Not Contacted")*(Pipeline!$P$6:$P$300&lt;&gt;""))</f>
        <v/>
      </c>
      <c r="D8" s="13">
        <f>COUNTIFS(Pipeline!$C$6:$C$300,A8,Pipeline!$P$6:$P$300,"Won")</f>
        <v/>
      </c>
      <c r="E8" s="13">
        <f>COUNTIFS(Pipeline!$C$6:$C$300,A8,Pipeline!$P$6:$P$300,"Lost")</f>
        <v/>
      </c>
      <c r="F8" s="14">
        <f>IFERROR(D8/C8,0)</f>
        <v/>
      </c>
      <c r="G8" s="14">
        <f>(B8*$C$4+D8)/($C$4+C8)</f>
        <v/>
      </c>
      <c r="H8" s="13">
        <f>ROUND(0.6+0.8*G8,2)</f>
        <v/>
      </c>
      <c r="I8" s="14">
        <f>C8/(C8+$C$4)</f>
        <v/>
      </c>
      <c r="J8" s="13">
        <f>IF(C8=0,"No data — pure prior",IF(I8&lt;0.25,"Low — mostly prior",IF(I8&lt;0.5,"Building — prior still meaningful","High — mostly real data")))</f>
        <v/>
      </c>
      <c r="K8" s="15" t="inlineStr">
        <is>
          <t>You're asking for an introduction, not selling directly — closer to warm-intro range (referral leads ~25-26%, Landbase/SyncGTM 2026).</t>
        </is>
      </c>
    </row>
    <row r="9">
      <c r="A9" s="8" t="inlineStr">
        <is>
          <t>MSP</t>
        </is>
      </c>
      <c r="B9" s="9" t="n">
        <v>0.15</v>
      </c>
      <c r="C9" s="10">
        <f>SUMPRODUCT((Pipeline!$C$6:$C$300=A9)*(Pipeline!$P$6:$P$300&lt;&gt;"Not Contacted")*(Pipeline!$P$6:$P$300&lt;&gt;""))</f>
        <v/>
      </c>
      <c r="D9" s="10">
        <f>COUNTIFS(Pipeline!$C$6:$C$300,A9,Pipeline!$P$6:$P$300,"Won")</f>
        <v/>
      </c>
      <c r="E9" s="10">
        <f>COUNTIFS(Pipeline!$C$6:$C$300,A9,Pipeline!$P$6:$P$300,"Lost")</f>
        <v/>
      </c>
      <c r="F9" s="11">
        <f>IFERROR(D9/C9,0)</f>
        <v/>
      </c>
      <c r="G9" s="11">
        <f>(B9*$C$4+D9)/($C$4+C9)</f>
        <v/>
      </c>
      <c r="H9" s="10">
        <f>ROUND(0.6+0.8*G9,2)</f>
        <v/>
      </c>
      <c r="I9" s="11">
        <f>C9/(C9+$C$4)</f>
        <v/>
      </c>
      <c r="J9" s="10">
        <f>IF(C9=0,"No data — pure prior",IF(I9&lt;0.25,"Low — mostly prior",IF(I9&lt;0.5,"Building — prior still meaningful","High — mostly real data")))</f>
        <v/>
      </c>
      <c r="K9" s="12" t="inlineStr">
        <is>
          <t>Cold outbound but a differentiated, relevant pitch (ex-MSP tech) — between cold-call and referral benchmarks.</t>
        </is>
      </c>
    </row>
    <row r="10">
      <c r="A10" s="13" t="inlineStr">
        <is>
          <t>TI Electrical/GC</t>
        </is>
      </c>
      <c r="B10" s="14" t="n">
        <v>0.12</v>
      </c>
      <c r="C10" s="13">
        <f>SUMPRODUCT((Pipeline!$C$6:$C$300=A10)*(Pipeline!$P$6:$P$300&lt;&gt;"Not Contacted")*(Pipeline!$P$6:$P$300&lt;&gt;""))</f>
        <v/>
      </c>
      <c r="D10" s="13">
        <f>COUNTIFS(Pipeline!$C$6:$C$300,A10,Pipeline!$P$6:$P$300,"Won")</f>
        <v/>
      </c>
      <c r="E10" s="13">
        <f>COUNTIFS(Pipeline!$C$6:$C$300,A10,Pipeline!$P$6:$P$300,"Lost")</f>
        <v/>
      </c>
      <c r="F10" s="14">
        <f>IFERROR(D10/C10,0)</f>
        <v/>
      </c>
      <c r="G10" s="14">
        <f>(B10*$C$4+D10)/($C$4+C10)</f>
        <v/>
      </c>
      <c r="H10" s="13">
        <f>ROUND(0.6+0.8*G10,2)</f>
        <v/>
      </c>
      <c r="I10" s="14">
        <f>C10/(C10+$C$4)</f>
        <v/>
      </c>
      <c r="J10" s="13">
        <f>IF(C10=0,"No data — pure prior",IF(I10&lt;0.25,"Low — mostly prior",IF(I10&lt;0.5,"Building — prior still meaningful","High — mostly real data")))</f>
        <v/>
      </c>
      <c r="K10" s="15" t="inlineStr">
        <is>
          <t>Cold outbound to a trade contact; treated like Property Mgmt absent better data.</t>
        </is>
      </c>
    </row>
    <row r="11">
      <c r="A11" s="8" t="inlineStr">
        <is>
          <t>Platform</t>
        </is>
      </c>
      <c r="B11" s="9" t="n">
        <v>0.25</v>
      </c>
      <c r="C11" s="10">
        <f>SUMPRODUCT((Pipeline!$C$6:$C$300=A11)*(Pipeline!$P$6:$P$300&lt;&gt;"Not Contacted")*(Pipeline!$P$6:$P$300&lt;&gt;""))</f>
        <v/>
      </c>
      <c r="D11" s="10">
        <f>COUNTIFS(Pipeline!$C$6:$C$300,A11,Pipeline!$P$6:$P$300,"Won")</f>
        <v/>
      </c>
      <c r="E11" s="10">
        <f>COUNTIFS(Pipeline!$C$6:$C$300,A11,Pipeline!$P$6:$P$300,"Lost")</f>
        <v/>
      </c>
      <c r="F11" s="11">
        <f>IFERROR(D11/C11,0)</f>
        <v/>
      </c>
      <c r="G11" s="11">
        <f>(B11*$C$4+D11)/($C$4+C11)</f>
        <v/>
      </c>
      <c r="H11" s="10">
        <f>ROUND(0.6+0.8*G11,2)</f>
        <v/>
      </c>
      <c r="I11" s="11">
        <f>C11/(C11+$C$4)</f>
        <v/>
      </c>
      <c r="J11" s="10">
        <f>IF(C11=0,"No data — pure prior",IF(I11&lt;0.25,"Low — mostly prior",IF(I11&lt;0.5,"Building — prior still meaningful","High — mostly real data")))</f>
        <v/>
      </c>
      <c r="K11" s="12" t="inlineStr">
        <is>
          <t>Self-serve marketplace — 'win' means getting qualified/booked, generally achievable with consistent effort, not a sales rejection scenario.</t>
        </is>
      </c>
    </row>
    <row r="12">
      <c r="A12" s="13" t="inlineStr">
        <is>
          <t>Bid Board</t>
        </is>
      </c>
      <c r="B12" s="14" t="n">
        <v>0.07000000000000001</v>
      </c>
      <c r="C12" s="13">
        <f>SUMPRODUCT((Pipeline!$C$6:$C$300=A12)*(Pipeline!$P$6:$P$300&lt;&gt;"Not Contacted")*(Pipeline!$P$6:$P$300&lt;&gt;""))</f>
        <v/>
      </c>
      <c r="D12" s="13">
        <f>COUNTIFS(Pipeline!$C$6:$C$300,A12,Pipeline!$P$6:$P$300,"Won")</f>
        <v/>
      </c>
      <c r="E12" s="13">
        <f>COUNTIFS(Pipeline!$C$6:$C$300,A12,Pipeline!$P$6:$P$300,"Lost")</f>
        <v/>
      </c>
      <c r="F12" s="14">
        <f>IFERROR(D12/C12,0)</f>
        <v/>
      </c>
      <c r="G12" s="14">
        <f>(B12*$C$4+D12)/($C$4+C12)</f>
        <v/>
      </c>
      <c r="H12" s="13">
        <f>ROUND(0.6+0.8*G12,2)</f>
        <v/>
      </c>
      <c r="I12" s="14">
        <f>C12/(C12+$C$4)</f>
        <v/>
      </c>
      <c r="J12" s="13">
        <f>IF(C12=0,"No data — pure prior",IF(I12&lt;0.25,"Low — mostly prior",IF(I12&lt;0.5,"Building — prior still meaningful","High — mostly real data")))</f>
        <v/>
      </c>
      <c r="K12" s="15" t="inlineStr">
        <is>
          <t>Passive, competitive, anonymous submission — construction leadgen research flags cold list channels as lowest-converting (~9.38% cold call is a ceiling, bid boards are typically worse).</t>
        </is>
      </c>
    </row>
    <row r="13">
      <c r="A13" s="8" t="inlineStr">
        <is>
          <t>Vendor Program</t>
        </is>
      </c>
      <c r="B13" s="9" t="n">
        <v>0.2</v>
      </c>
      <c r="C13" s="10">
        <f>SUMPRODUCT((Pipeline!$C$6:$C$300=A13)*(Pipeline!$P$6:$P$300&lt;&gt;"Not Contacted")*(Pipeline!$P$6:$P$300&lt;&gt;""))</f>
        <v/>
      </c>
      <c r="D13" s="10">
        <f>COUNTIFS(Pipeline!$C$6:$C$300,A13,Pipeline!$P$6:$P$300,"Won")</f>
        <v/>
      </c>
      <c r="E13" s="10">
        <f>COUNTIFS(Pipeline!$C$6:$C$300,A13,Pipeline!$P$6:$P$300,"Lost")</f>
        <v/>
      </c>
      <c r="F13" s="11">
        <f>IFERROR(D13/C13,0)</f>
        <v/>
      </c>
      <c r="G13" s="11">
        <f>(B13*$C$4+D13)/($C$4+C13)</f>
        <v/>
      </c>
      <c r="H13" s="10">
        <f>ROUND(0.6+0.8*G13,2)</f>
        <v/>
      </c>
      <c r="I13" s="11">
        <f>C13/(C13+$C$4)</f>
        <v/>
      </c>
      <c r="J13" s="10">
        <f>IF(C13=0,"No data — pure prior",IF(I13&lt;0.25,"Low — mostly prior",IF(I13&lt;0.5,"Building — prior still meaningful","High — mostly real data")))</f>
        <v/>
      </c>
      <c r="K13" s="12" t="inlineStr">
        <is>
          <t>Application-based enrollment against stated criteria — decent odds if criteria are met.</t>
        </is>
      </c>
    </row>
    <row r="14">
      <c r="A14" s="13" t="inlineStr">
        <is>
          <t>DC Integrator/Staffing</t>
        </is>
      </c>
      <c r="B14" s="14" t="n">
        <v>0.08</v>
      </c>
      <c r="C14" s="13">
        <f>SUMPRODUCT((Pipeline!$C$6:$C$300=A14)*(Pipeline!$P$6:$P$300&lt;&gt;"Not Contacted")*(Pipeline!$P$6:$P$300&lt;&gt;""))</f>
        <v/>
      </c>
      <c r="D14" s="13">
        <f>COUNTIFS(Pipeline!$C$6:$C$300,A14,Pipeline!$P$6:$P$300,"Won")</f>
        <v/>
      </c>
      <c r="E14" s="13">
        <f>COUNTIFS(Pipeline!$C$6:$C$300,A14,Pipeline!$P$6:$P$300,"Lost")</f>
        <v/>
      </c>
      <c r="F14" s="14">
        <f>IFERROR(D14/C14,0)</f>
        <v/>
      </c>
      <c r="G14" s="14">
        <f>(B14*$C$4+D14)/($C$4+C14)</f>
        <v/>
      </c>
      <c r="H14" s="13">
        <f>ROUND(0.6+0.8*G14,2)</f>
        <v/>
      </c>
      <c r="I14" s="14">
        <f>C14/(C14+$C$4)</f>
        <v/>
      </c>
      <c r="J14" s="13">
        <f>IF(C14=0,"No data — pure prior",IF(I14&lt;0.25,"Low — mostly prior",IF(I14&lt;0.5,"Building — prior still meaningful","High — mostly real data")))</f>
        <v/>
      </c>
      <c r="K14" s="15" t="inlineStr">
        <is>
          <t>Long-game registration into a vetting pipeline for Year 2+ work — low near-term conversion by design.</t>
        </is>
      </c>
    </row>
    <row r="15">
      <c r="A15" s="8" t="inlineStr">
        <is>
          <t>Association/Networking</t>
        </is>
      </c>
      <c r="B15" s="9" t="n">
        <v>0.22</v>
      </c>
      <c r="C15" s="10">
        <f>SUMPRODUCT((Pipeline!$C$6:$C$300=A15)*(Pipeline!$P$6:$P$300&lt;&gt;"Not Contacted")*(Pipeline!$P$6:$P$300&lt;&gt;""))</f>
        <v/>
      </c>
      <c r="D15" s="10">
        <f>COUNTIFS(Pipeline!$C$6:$C$300,A15,Pipeline!$P$6:$P$300,"Won")</f>
        <v/>
      </c>
      <c r="E15" s="10">
        <f>COUNTIFS(Pipeline!$C$6:$C$300,A15,Pipeline!$P$6:$P$300,"Lost")</f>
        <v/>
      </c>
      <c r="F15" s="11">
        <f>IFERROR(D15/C15,0)</f>
        <v/>
      </c>
      <c r="G15" s="11">
        <f>(B15*$C$4+D15)/($C$4+C15)</f>
        <v/>
      </c>
      <c r="H15" s="10">
        <f>ROUND(0.6+0.8*G15,2)</f>
        <v/>
      </c>
      <c r="I15" s="11">
        <f>C15/(C15+$C$4)</f>
        <v/>
      </c>
      <c r="J15" s="10">
        <f>IF(C15=0,"No data — pure prior",IF(I15&lt;0.25,"Low — mostly prior",IF(I15&lt;0.5,"Building — prior still meaningful","High — mostly real data")))</f>
        <v/>
      </c>
      <c r="K15" s="12" t="inlineStr">
        <is>
          <t>You're in the room by choice with people who chose to be there too — closer to warm-intro/referral territory than cold outbound (BOMA/IREM events put you directly in front of property/facility managers, your core Tier 1 buyer).</t>
        </is>
      </c>
    </row>
  </sheetData>
  <mergeCells count="3">
    <mergeCell ref="A2:K2"/>
    <mergeCell ref="A1:K1"/>
    <mergeCell ref="D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0" customWidth="1" min="3" max="3"/>
    <col width="3" customWidth="1" min="4" max="4"/>
    <col width="10" customWidth="1" min="5" max="5"/>
    <col width="10" customWidth="1" min="6" max="6"/>
  </cols>
  <sheetData>
    <row r="2">
      <c r="B2" s="1" t="inlineStr">
        <is>
          <t>Pipeline Dashboard</t>
        </is>
      </c>
    </row>
    <row r="3">
      <c r="B3" s="2" t="inlineStr">
        <is>
          <t>Live counts pulled from the Pipeline tab — update Status there, these move automatically.</t>
        </is>
      </c>
    </row>
    <row r="6">
      <c r="B6" s="3" t="inlineStr">
        <is>
          <t>By Status</t>
        </is>
      </c>
      <c r="E6" s="3" t="inlineStr">
        <is>
          <t>By Tier</t>
        </is>
      </c>
    </row>
    <row r="7">
      <c r="B7" s="16" t="inlineStr">
        <is>
          <t>Status</t>
        </is>
      </c>
      <c r="C7" s="16" t="inlineStr">
        <is>
          <t>Count</t>
        </is>
      </c>
      <c r="E7" s="16" t="inlineStr">
        <is>
          <t>Tier</t>
        </is>
      </c>
      <c r="F7" s="16" t="inlineStr">
        <is>
          <t>Count</t>
        </is>
      </c>
    </row>
    <row r="8">
      <c r="B8" s="8" t="inlineStr">
        <is>
          <t>Not Contacted</t>
        </is>
      </c>
      <c r="C8" s="8">
        <f>COUNTIF(Pipeline!$P$6:$P$300,B8)</f>
        <v/>
      </c>
      <c r="E8" s="8" t="n">
        <v>1</v>
      </c>
      <c r="F8" s="8">
        <f>COUNTIF(Pipeline!$B$6:$B$300,E8)</f>
        <v/>
      </c>
    </row>
    <row r="9">
      <c r="B9" s="13" t="inlineStr">
        <is>
          <t>Contacted</t>
        </is>
      </c>
      <c r="C9" s="13">
        <f>COUNTIF(Pipeline!$P$6:$P$300,B9)</f>
        <v/>
      </c>
      <c r="E9" s="13" t="n">
        <v>2</v>
      </c>
      <c r="F9" s="13">
        <f>COUNTIF(Pipeline!$B$6:$B$300,E9)</f>
        <v/>
      </c>
    </row>
    <row r="10">
      <c r="B10" s="8" t="inlineStr">
        <is>
          <t>Follow-up Scheduled</t>
        </is>
      </c>
      <c r="C10" s="8">
        <f>COUNTIF(Pipeline!$P$6:$P$300,B10)</f>
        <v/>
      </c>
      <c r="E10" s="8" t="n">
        <v>3</v>
      </c>
      <c r="F10" s="8">
        <f>COUNTIF(Pipeline!$B$6:$B$300,E10)</f>
        <v/>
      </c>
    </row>
    <row r="11">
      <c r="B11" s="13" t="inlineStr">
        <is>
          <t>Quoted</t>
        </is>
      </c>
      <c r="C11" s="13">
        <f>COUNTIF(Pipeline!$P$6:$P$300,B11)</f>
        <v/>
      </c>
    </row>
    <row r="12">
      <c r="B12" s="8" t="inlineStr">
        <is>
          <t>Won</t>
        </is>
      </c>
      <c r="C12" s="8">
        <f>COUNTIF(Pipeline!$P$6:$P$300,B12)</f>
        <v/>
      </c>
    </row>
    <row r="13">
      <c r="B13" s="13" t="inlineStr">
        <is>
          <t>Lost</t>
        </is>
      </c>
      <c r="C13" s="13">
        <f>COUNTIF(Pipeline!$P$6:$P$300,B13)</f>
        <v/>
      </c>
    </row>
    <row r="15">
      <c r="B15" s="3" t="inlineStr">
        <is>
          <t>Total prospects in pipeline</t>
        </is>
      </c>
      <c r="C15" s="17">
        <f>COUNTA(Pipeline!$A$6:$A$300)</f>
        <v/>
      </c>
    </row>
    <row r="17">
      <c r="B17" s="18" t="inlineStr">
        <is>
          <t>Calls this week (Last Contact Date in last 7 days)</t>
        </is>
      </c>
      <c r="C17" s="17">
        <f>SUMPRODUCT((Pipeline!$O$6:$O$300&lt;&gt;"")*(Pipeline!$O$6:$O$300&gt;=TODAY()-7)*(Pipeline!$O$6:$O$300&lt;=TODAY()))</f>
        <v/>
      </c>
    </row>
    <row r="19">
      <c r="B19" s="18" t="inlineStr">
        <is>
          <t>Average Lead Score, open leads (Not Contacted/Contacted)</t>
        </is>
      </c>
      <c r="C19" s="17">
        <f>IFERROR(SUMPRODUCT(((Pipeline!$P$6:$P$300="Not Contacted")+(Pipeline!$P$6:$P$300="Contacted"))*Pipeline!$G$6:$G$300)/SUMPRODUCT(((Pipeline!$P$6:$P$300="Not Contacted")+(Pipeline!$P$6:$P$300="Contacted"))*1),0)</f>
        <v/>
      </c>
    </row>
    <row r="21">
      <c r="B21" s="18" t="inlineStr">
        <is>
          <t>Top channel right now (by Multiplier)</t>
        </is>
      </c>
      <c r="C21" s="19">
        <f>INDEX('Channel Performance'!$A$7:$A$15,MATCH(MAX('Channel Performance'!$H$7:$H$15),'Channel Performance'!$H$7:$H$15,0))</f>
        <v/>
      </c>
    </row>
    <row r="22">
      <c r="B22" s="2" t="inlineStr">
        <is>
          <t>See Channel Performance tab for the full breakdown and why.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8" customWidth="1" min="3" max="3"/>
    <col width="11" customWidth="1" min="4" max="4"/>
    <col width="13" customWidth="1" min="5" max="5"/>
    <col width="22" customWidth="1" min="6" max="6"/>
    <col width="10" customWidth="1" min="7" max="7"/>
    <col width="34" customWidth="1" min="8" max="8"/>
    <col width="32" customWidth="1" min="9" max="9"/>
    <col width="40" customWidth="1" min="10" max="10"/>
    <col width="16" customWidth="1" min="11" max="11"/>
    <col width="15" customWidth="1" min="12" max="12"/>
    <col width="22" customWidth="1" min="13" max="13"/>
    <col width="26" customWidth="1" min="14" max="14"/>
    <col width="14" customWidth="1" min="15" max="15"/>
    <col width="16" customWidth="1" min="16" max="16"/>
    <col width="26" customWidth="1" min="17" max="17"/>
    <col width="14" customWidth="1" min="18" max="18"/>
    <col width="40" customWidth="1" min="19" max="19"/>
  </cols>
  <sheetData>
    <row r="1">
      <c r="A1" s="1" t="inlineStr">
        <is>
          <t>Pipeline — Master Prospect Tracker</t>
        </is>
      </c>
    </row>
    <row r="2" ht="26" customHeight="1">
      <c r="A2" s="5" t="inlineStr">
        <is>
          <t>Log every company you contact here. Yellow = you fill in. Blue = judgment, set once (incl. Service Match against your actual work types). Green = live formula — updates the instant you change Status.</t>
        </is>
      </c>
    </row>
    <row r="5">
      <c r="A5" s="7" t="inlineStr">
        <is>
          <t>Company</t>
        </is>
      </c>
      <c r="B5" s="7" t="inlineStr">
        <is>
          <t>Tier (1/2/3)</t>
        </is>
      </c>
      <c r="C5" s="7" t="inlineStr">
        <is>
          <t>Channel</t>
        </is>
      </c>
      <c r="D5" s="7" t="inlineStr">
        <is>
          <t>Base Fit (1-10)</t>
        </is>
      </c>
      <c r="E5" s="7" t="inlineStr">
        <is>
          <t>Channel Multiplier</t>
        </is>
      </c>
      <c r="F5" s="7" t="inlineStr">
        <is>
          <t>Channel Confidence</t>
        </is>
      </c>
      <c r="G5" s="7" t="inlineStr">
        <is>
          <t>Lead Score</t>
        </is>
      </c>
      <c r="H5" s="7" t="inlineStr">
        <is>
          <t>Service Match</t>
        </is>
      </c>
      <c r="I5" s="7" t="inlineStr">
        <is>
          <t>Likely Service Need</t>
        </is>
      </c>
      <c r="J5" s="7" t="inlineStr">
        <is>
          <t>Evidence</t>
        </is>
      </c>
      <c r="K5" s="7" t="inlineStr">
        <is>
          <t>Contact Name</t>
        </is>
      </c>
      <c r="L5" s="7" t="inlineStr">
        <is>
          <t>Phone</t>
        </is>
      </c>
      <c r="M5" s="7" t="inlineStr">
        <is>
          <t>Email</t>
        </is>
      </c>
      <c r="N5" s="7" t="inlineStr">
        <is>
          <t>Website</t>
        </is>
      </c>
      <c r="O5" s="7" t="inlineStr">
        <is>
          <t>Last Contact Date</t>
        </is>
      </c>
      <c r="P5" s="7" t="inlineStr">
        <is>
          <t>Status</t>
        </is>
      </c>
      <c r="Q5" s="7" t="inlineStr">
        <is>
          <t>Next Action</t>
        </is>
      </c>
      <c r="R5" s="7" t="inlineStr">
        <is>
          <t>Next Action Date</t>
        </is>
      </c>
      <c r="S5" s="7" t="inlineStr">
        <is>
          <t>Notes</t>
        </is>
      </c>
    </row>
    <row r="6">
      <c r="A6" s="12" t="inlineStr">
        <is>
          <t>SunByrnes Properties &amp; Construction</t>
        </is>
      </c>
      <c r="B6" s="20" t="n">
        <v>1</v>
      </c>
      <c r="C6" s="20" t="inlineStr">
        <is>
          <t>Property Mgmt</t>
        </is>
      </c>
      <c r="D6" s="21" t="n">
        <v>6</v>
      </c>
      <c r="E6" s="22">
        <f>IFERROR(INDEX('Channel Performance'!$H$7:$H$15,MATCH(C6,'Channel Performance'!$A$7:$A$15,0)),1)</f>
        <v/>
      </c>
      <c r="F6" s="23">
        <f>IFERROR(INDEX('Channel Performance'!$J$7:$J$15,MATCH(C6,'Channel Performance'!$A$7:$A$15,0)),"No data — pure prior")</f>
        <v/>
      </c>
      <c r="G6" s="23">
        <f>ROUND(MIN(10,MAX(1,D6*E6)),1)</f>
        <v/>
      </c>
      <c r="H6" s="24" t="inlineStr">
        <is>
          <t>Copper/Structured Cabling, Fiber, Decommissions</t>
        </is>
      </c>
      <c r="I6" s="24" t="inlineStr">
        <is>
          <t>TI cabling + recurring MACs across office/medical/retail portfolio</t>
        </is>
      </c>
      <c r="J6" s="24" t="inlineStr">
        <is>
          <t>Category match only — no specific signal found; worth a discovery call to verify current need.</t>
        </is>
      </c>
      <c r="K6" s="25" t="inlineStr"/>
      <c r="L6" s="20" t="inlineStr">
        <is>
          <t>(586) 997-8500</t>
        </is>
      </c>
      <c r="M6" s="25" t="inlineStr"/>
      <c r="N6" s="20" t="inlineStr">
        <is>
          <t>sunbyrnes.com</t>
        </is>
      </c>
      <c r="O6" s="26" t="inlineStr"/>
      <c r="P6" s="20" t="inlineStr">
        <is>
          <t>Not Contacted</t>
        </is>
      </c>
      <c r="Q6" s="12" t="inlineStr">
        <is>
          <t>Call: intro + capabilities sheet</t>
        </is>
      </c>
      <c r="R6" s="26" t="inlineStr"/>
      <c r="S6" s="12" t="inlineStr">
        <is>
          <t>Rochester Hills. Site notes they vet outside vendors for fit — lead with credentials and COI up front.</t>
        </is>
      </c>
    </row>
    <row r="7">
      <c r="A7" s="15" t="inlineStr">
        <is>
          <t>PMI Motor City</t>
        </is>
      </c>
      <c r="B7" s="27" t="n">
        <v>1</v>
      </c>
      <c r="C7" s="27" t="inlineStr">
        <is>
          <t>Property Mgmt</t>
        </is>
      </c>
      <c r="D7" s="27" t="n">
        <v>6</v>
      </c>
      <c r="E7" s="28">
        <f>IFERROR(INDEX('Channel Performance'!$H$7:$H$15,MATCH(C7,'Channel Performance'!$A$7:$A$15,0)),1)</f>
        <v/>
      </c>
      <c r="F7" s="27">
        <f>IFERROR(INDEX('Channel Performance'!$J$7:$J$15,MATCH(C7,'Channel Performance'!$A$7:$A$15,0)),"No data — pure prior")</f>
        <v/>
      </c>
      <c r="G7" s="27">
        <f>ROUND(MIN(10,MAX(1,D7*E7)),1)</f>
        <v/>
      </c>
      <c r="H7" s="15" t="inlineStr">
        <is>
          <t>Copper/Structured Cabling, Decommissions</t>
        </is>
      </c>
      <c r="I7" s="15" t="inlineStr">
        <is>
          <t>TI cabling + closet cleanups for office tenant turnover</t>
        </is>
      </c>
      <c r="J7" s="15" t="inlineStr">
        <is>
          <t>Category match only — no specific signal found; worth a discovery call to verify current need.</t>
        </is>
      </c>
      <c r="K7" s="27" t="inlineStr"/>
      <c r="L7" s="27" t="inlineStr">
        <is>
          <t>248-270-5221</t>
        </is>
      </c>
      <c r="M7" s="27" t="inlineStr">
        <is>
          <t>info@pmimotorcity.com</t>
        </is>
      </c>
      <c r="N7" s="27" t="inlineStr">
        <is>
          <t>pmimotorcity.com</t>
        </is>
      </c>
      <c r="O7" s="29" t="inlineStr"/>
      <c r="P7" s="27" t="inlineStr">
        <is>
          <t>Not Contacted</t>
        </is>
      </c>
      <c r="Q7" s="15" t="inlineStr">
        <is>
          <t>Call: intro + capabilities sheet</t>
        </is>
      </c>
      <c r="R7" s="29" t="inlineStr"/>
      <c r="S7" s="15" t="inlineStr">
        <is>
          <t>Clarkston. Specializes specifically in metro Detroit office buildings — smaller shop, easier to reach a decision-maker.</t>
        </is>
      </c>
    </row>
    <row r="8">
      <c r="A8" s="12" t="inlineStr">
        <is>
          <t>Farbman Group</t>
        </is>
      </c>
      <c r="B8" s="20" t="n">
        <v>1</v>
      </c>
      <c r="C8" s="20" t="inlineStr">
        <is>
          <t>Property Mgmt</t>
        </is>
      </c>
      <c r="D8" s="21" t="n">
        <v>7</v>
      </c>
      <c r="E8" s="22">
        <f>IFERROR(INDEX('Channel Performance'!$H$7:$H$15,MATCH(C8,'Channel Performance'!$A$7:$A$15,0)),1)</f>
        <v/>
      </c>
      <c r="F8" s="23">
        <f>IFERROR(INDEX('Channel Performance'!$J$7:$J$15,MATCH(C8,'Channel Performance'!$A$7:$A$15,0)),"No data — pure prior")</f>
        <v/>
      </c>
      <c r="G8" s="23">
        <f>ROUND(MIN(10,MAX(1,D8*E8)),1)</f>
        <v/>
      </c>
      <c r="H8" s="24" t="inlineStr">
        <is>
          <t>Copper/Structured Cabling, Fiber, Decommissions, Network Setup</t>
        </is>
      </c>
      <c r="I8" s="24" t="inlineStr">
        <is>
          <t>Recurring MACs + TI cabling at volume across a 25M+ sqft portfolio</t>
        </is>
      </c>
      <c r="J8" s="24" t="inlineStr">
        <is>
          <t>Category match only — no specific signal found; worth a discovery call to verify current need.</t>
        </is>
      </c>
      <c r="K8" s="25" t="inlineStr"/>
      <c r="L8" s="20" t="inlineStr">
        <is>
          <t>(248) 353-0500</t>
        </is>
      </c>
      <c r="M8" s="25" t="inlineStr"/>
      <c r="N8" s="20" t="inlineStr">
        <is>
          <t>farbman.com</t>
        </is>
      </c>
      <c r="O8" s="26" t="inlineStr"/>
      <c r="P8" s="20" t="inlineStr">
        <is>
          <t>Not Contacted</t>
        </is>
      </c>
      <c r="Q8" s="12" t="inlineStr">
        <is>
          <t>Call: intro + capabilities sheet</t>
        </is>
      </c>
      <c r="R8" s="26" t="inlineStr"/>
      <c r="S8" s="12" t="inlineStr">
        <is>
          <t>Detroit + Farmington Hills offices. Highest volume potential in this tier; expect more gatekeeping to reach the right facilities contact.</t>
        </is>
      </c>
    </row>
    <row r="9">
      <c r="A9" s="15" t="inlineStr">
        <is>
          <t>JMZ Management</t>
        </is>
      </c>
      <c r="B9" s="27" t="n">
        <v>1</v>
      </c>
      <c r="C9" s="27" t="inlineStr">
        <is>
          <t>Property Mgmt</t>
        </is>
      </c>
      <c r="D9" s="27" t="n">
        <v>5</v>
      </c>
      <c r="E9" s="28">
        <f>IFERROR(INDEX('Channel Performance'!$H$7:$H$15,MATCH(C9,'Channel Performance'!$A$7:$A$15,0)),1)</f>
        <v/>
      </c>
      <c r="F9" s="27">
        <f>IFERROR(INDEX('Channel Performance'!$J$7:$J$15,MATCH(C9,'Channel Performance'!$A$7:$A$15,0)),"No data — pure prior")</f>
        <v/>
      </c>
      <c r="G9" s="27">
        <f>ROUND(MIN(10,MAX(1,D9*E9)),1)</f>
        <v/>
      </c>
      <c r="H9" s="15" t="inlineStr">
        <is>
          <t>Copper/Structured Cabling, Decommissions</t>
        </is>
      </c>
      <c r="I9" s="15" t="inlineStr">
        <is>
          <t>Office/commercial MACs, smaller deal size per site</t>
        </is>
      </c>
      <c r="J9" s="15" t="inlineStr">
        <is>
          <t>Category match only — no specific signal found; worth a discovery call to verify current need.</t>
        </is>
      </c>
      <c r="K9" s="27" t="inlineStr"/>
      <c r="L9" s="27" t="inlineStr">
        <is>
          <t>248-284-6990</t>
        </is>
      </c>
      <c r="M9" s="27" t="inlineStr"/>
      <c r="N9" s="27" t="inlineStr">
        <is>
          <t>jmzmanagement.com</t>
        </is>
      </c>
      <c r="O9" s="29" t="inlineStr"/>
      <c r="P9" s="27" t="inlineStr">
        <is>
          <t>Not Contacted</t>
        </is>
      </c>
      <c r="Q9" s="15" t="inlineStr">
        <is>
          <t>Call: intro + capabilities sheet</t>
        </is>
      </c>
      <c r="R9" s="29" t="inlineStr"/>
      <c r="S9" s="15" t="inlineStr">
        <is>
          <t>Novi. 1,000+ properties SE Michigan, residential + commercial mix.</t>
        </is>
      </c>
    </row>
    <row r="10">
      <c r="A10" s="12" t="inlineStr">
        <is>
          <t>Colliers Detroit Office Agency Team</t>
        </is>
      </c>
      <c r="B10" s="20" t="n">
        <v>1</v>
      </c>
      <c r="C10" s="20" t="inlineStr">
        <is>
          <t>CRE Broker</t>
        </is>
      </c>
      <c r="D10" s="21" t="n">
        <v>4</v>
      </c>
      <c r="E10" s="22">
        <f>IFERROR(INDEX('Channel Performance'!$H$7:$H$15,MATCH(C10,'Channel Performance'!$A$7:$A$15,0)),1)</f>
        <v/>
      </c>
      <c r="F10" s="23">
        <f>IFERROR(INDEX('Channel Performance'!$J$7:$J$15,MATCH(C10,'Channel Performance'!$A$7:$A$15,0)),"No data — pure prior")</f>
        <v/>
      </c>
      <c r="G10" s="23">
        <f>ROUND(MIN(10,MAX(1,D10*E10)),1)</f>
        <v/>
      </c>
      <c r="H10" s="24" t="inlineStr">
        <is>
          <t>Varies — referral only, no direct work type</t>
        </is>
      </c>
      <c r="I10" s="24" t="inlineStr">
        <is>
          <t>Referral intel only — not a direct cabling buyer</t>
        </is>
      </c>
      <c r="J10" s="24" t="inlineStr">
        <is>
          <t>Category match only — no specific signal found; worth a discovery call to verify current need.</t>
        </is>
      </c>
      <c r="K10" s="25" t="inlineStr"/>
      <c r="L10" s="20" t="inlineStr"/>
      <c r="M10" s="25" t="inlineStr"/>
      <c r="N10" s="20" t="inlineStr">
        <is>
          <t>colliers.com</t>
        </is>
      </c>
      <c r="O10" s="26" t="inlineStr"/>
      <c r="P10" s="20" t="inlineStr">
        <is>
          <t>Not Contacted</t>
        </is>
      </c>
      <c r="Q10" s="12" t="inlineStr">
        <is>
          <t>Call: ask who's re-tenanting/repositioning</t>
        </is>
      </c>
      <c r="R10" s="26" t="inlineStr"/>
      <c r="S10" s="12" t="inlineStr">
        <is>
          <t>Royal Oak/Birmingham/Ann Arbor. Landlord rep team — knows which buildings are being repositioned before it's public.</t>
        </is>
      </c>
    </row>
    <row r="11">
      <c r="A11" s="15" t="inlineStr">
        <is>
          <t>CBRE Detroit</t>
        </is>
      </c>
      <c r="B11" s="27" t="n">
        <v>1</v>
      </c>
      <c r="C11" s="27" t="inlineStr">
        <is>
          <t>CRE Broker</t>
        </is>
      </c>
      <c r="D11" s="27" t="n">
        <v>6</v>
      </c>
      <c r="E11" s="28">
        <f>IFERROR(INDEX('Channel Performance'!$H$7:$H$15,MATCH(C11,'Channel Performance'!$A$7:$A$15,0)),1)</f>
        <v/>
      </c>
      <c r="F11" s="27">
        <f>IFERROR(INDEX('Channel Performance'!$J$7:$J$15,MATCH(C11,'Channel Performance'!$A$7:$A$15,0)),"No data — pure prior")</f>
        <v/>
      </c>
      <c r="G11" s="27">
        <f>ROUND(MIN(10,MAX(1,D11*E11)),1)</f>
        <v/>
      </c>
      <c r="H11" s="15" t="inlineStr">
        <is>
          <t>Copper/Structured Cabling, Fiber, Decommissions</t>
        </is>
      </c>
      <c r="I11" s="15" t="inlineStr">
        <is>
          <t>PM division = direct TI/MAC buyer; brokerage side = referral intel</t>
        </is>
      </c>
      <c r="J11" s="15" t="inlineStr">
        <is>
          <t>Category match only — no specific signal found; worth a discovery call to verify current need.</t>
        </is>
      </c>
      <c r="K11" s="27" t="inlineStr"/>
      <c r="L11" s="27" t="inlineStr"/>
      <c r="M11" s="27" t="inlineStr"/>
      <c r="N11" s="27" t="inlineStr">
        <is>
          <t>cbre.com/offices/corporate/detroit</t>
        </is>
      </c>
      <c r="O11" s="29" t="inlineStr"/>
      <c r="P11" s="27" t="inlineStr">
        <is>
          <t>Not Contacted</t>
        </is>
      </c>
      <c r="Q11" s="15" t="inlineStr">
        <is>
          <t>Call: ask who's re-tenanting/repositioning</t>
        </is>
      </c>
      <c r="R11" s="29" t="inlineStr"/>
      <c r="S11" s="15" t="inlineStr">
        <is>
          <t>Southfield office. Dual-purpose contact — ask for both property management and leasing.</t>
        </is>
      </c>
    </row>
    <row r="12">
      <c r="A12" s="12" t="inlineStr">
        <is>
          <t>JLL Detroit</t>
        </is>
      </c>
      <c r="B12" s="20" t="n">
        <v>1</v>
      </c>
      <c r="C12" s="20" t="inlineStr">
        <is>
          <t>CRE Broker</t>
        </is>
      </c>
      <c r="D12" s="21" t="n">
        <v>6</v>
      </c>
      <c r="E12" s="22">
        <f>IFERROR(INDEX('Channel Performance'!$H$7:$H$15,MATCH(C12,'Channel Performance'!$A$7:$A$15,0)),1)</f>
        <v/>
      </c>
      <c r="F12" s="23">
        <f>IFERROR(INDEX('Channel Performance'!$J$7:$J$15,MATCH(C12,'Channel Performance'!$A$7:$A$15,0)),"No data — pure prior")</f>
        <v/>
      </c>
      <c r="G12" s="23">
        <f>ROUND(MIN(10,MAX(1,D12*E12)),1)</f>
        <v/>
      </c>
      <c r="H12" s="24" t="inlineStr">
        <is>
          <t>Copper/Structured Cabling, Fiber, Decommissions</t>
        </is>
      </c>
      <c r="I12" s="24" t="inlineStr">
        <is>
          <t>PM division = direct TI/MAC buyer; brokerage side = referral intel</t>
        </is>
      </c>
      <c r="J12" s="24" t="inlineStr">
        <is>
          <t>Category match only — no specific signal found; worth a discovery call to verify current need.</t>
        </is>
      </c>
      <c r="K12" s="25" t="inlineStr"/>
      <c r="L12" s="20" t="inlineStr"/>
      <c r="M12" s="25" t="inlineStr"/>
      <c r="N12" s="20" t="inlineStr">
        <is>
          <t>us.jll.com/en/locations/midwest/detroit</t>
        </is>
      </c>
      <c r="O12" s="26" t="inlineStr"/>
      <c r="P12" s="20" t="inlineStr">
        <is>
          <t>Not Contacted</t>
        </is>
      </c>
      <c r="Q12" s="12" t="inlineStr">
        <is>
          <t>Call: ask who's re-tenanting/repositioning</t>
        </is>
      </c>
      <c r="R12" s="26" t="inlineStr"/>
      <c r="S12" s="12" t="inlineStr">
        <is>
          <t>Leasing + property management across metro Detroit.</t>
        </is>
      </c>
    </row>
    <row r="13">
      <c r="A13" s="15" t="inlineStr">
        <is>
          <t>AdRem Systems Corporation</t>
        </is>
      </c>
      <c r="B13" s="27" t="n">
        <v>1</v>
      </c>
      <c r="C13" s="27" t="inlineStr">
        <is>
          <t>MSP</t>
        </is>
      </c>
      <c r="D13" s="27" t="n">
        <v>7</v>
      </c>
      <c r="E13" s="28">
        <f>IFERROR(INDEX('Channel Performance'!$H$7:$H$15,MATCH(C13,'Channel Performance'!$A$7:$A$15,0)),1)</f>
        <v/>
      </c>
      <c r="F13" s="27">
        <f>IFERROR(INDEX('Channel Performance'!$J$7:$J$15,MATCH(C13,'Channel Performance'!$A$7:$A$15,0)),"No data — pure prior")</f>
        <v/>
      </c>
      <c r="G13" s="27">
        <f>ROUND(MIN(10,MAX(1,D13*E13)),1)</f>
        <v/>
      </c>
      <c r="H13" s="15" t="inlineStr">
        <is>
          <t>Copper/Structured Cabling, Network Setup, Cloud/IT Support</t>
        </is>
      </c>
      <c r="I13" s="15" t="inlineStr">
        <is>
          <t>Cabling subcontract for their client base (network support/outsourcing clients)</t>
        </is>
      </c>
      <c r="J13" s="15" t="inlineStr">
        <is>
          <t>Category match only — no specific signal found; worth a discovery call to verify current need.</t>
        </is>
      </c>
      <c r="K13" s="27" t="inlineStr"/>
      <c r="L13" s="27" t="inlineStr"/>
      <c r="M13" s="27" t="inlineStr"/>
      <c r="N13" s="27" t="inlineStr">
        <is>
          <t>adrem.com</t>
        </is>
      </c>
      <c r="O13" s="29" t="inlineStr"/>
      <c r="P13" s="27" t="inlineStr">
        <is>
          <t>Not Contacted</t>
        </is>
      </c>
      <c r="Q13" s="15" t="inlineStr">
        <is>
          <t>Call: intro, cabling sub for their clients</t>
        </is>
      </c>
      <c r="R13" s="29" t="inlineStr"/>
      <c r="S13" s="15" t="inlineStr">
        <is>
          <t>Detroit-focused MSP, 21 yrs. MSPs are a high-fit channel — they hate pulling cable.</t>
        </is>
      </c>
    </row>
    <row r="14">
      <c r="A14" s="12" t="inlineStr">
        <is>
          <t>Macro Connect</t>
        </is>
      </c>
      <c r="B14" s="20" t="n">
        <v>1</v>
      </c>
      <c r="C14" s="20" t="inlineStr">
        <is>
          <t>MSP</t>
        </is>
      </c>
      <c r="D14" s="21" t="n">
        <v>6</v>
      </c>
      <c r="E14" s="22">
        <f>IFERROR(INDEX('Channel Performance'!$H$7:$H$15,MATCH(C14,'Channel Performance'!$A$7:$A$15,0)),1)</f>
        <v/>
      </c>
      <c r="F14" s="23">
        <f>IFERROR(INDEX('Channel Performance'!$J$7:$J$15,MATCH(C14,'Channel Performance'!$A$7:$A$15,0)),"No data — pure prior")</f>
        <v/>
      </c>
      <c r="G14" s="23">
        <f>ROUND(MIN(10,MAX(1,D14*E14)),1)</f>
        <v/>
      </c>
      <c r="H14" s="24" t="inlineStr">
        <is>
          <t>Copper/Structured Cabling, Network Setup, Cloud/IT Support</t>
        </is>
      </c>
      <c r="I14" s="24" t="inlineStr">
        <is>
          <t>Cabling subcontract + possible E-Rate school cabling overlap</t>
        </is>
      </c>
      <c r="J14" s="24" t="inlineStr">
        <is>
          <t>Category match only — no specific signal found; worth a discovery call to verify current need.</t>
        </is>
      </c>
      <c r="K14" s="25" t="inlineStr"/>
      <c r="L14" s="20" t="inlineStr"/>
      <c r="M14" s="25" t="inlineStr"/>
      <c r="N14" s="20" t="inlineStr">
        <is>
          <t>macroconnect.net</t>
        </is>
      </c>
      <c r="O14" s="26" t="inlineStr"/>
      <c r="P14" s="20" t="inlineStr">
        <is>
          <t>Not Contacted</t>
        </is>
      </c>
      <c r="Q14" s="12" t="inlineStr">
        <is>
          <t>Call: intro, cabling sub for their clients</t>
        </is>
      </c>
      <c r="R14" s="26" t="inlineStr"/>
      <c r="S14" s="12" t="inlineStr">
        <is>
          <t>Detroit MSP since 1997. Schools + small business focus.</t>
        </is>
      </c>
    </row>
    <row r="15">
      <c r="A15" s="15" t="inlineStr">
        <is>
          <t>Clutch.co Detroit MSP directory (Realnets, Vista IT Group, Applied Tech, CETech, etc.)</t>
        </is>
      </c>
      <c r="B15" s="27" t="n">
        <v>1</v>
      </c>
      <c r="C15" s="27" t="inlineStr">
        <is>
          <t>MSP</t>
        </is>
      </c>
      <c r="D15" s="27" t="n">
        <v>4</v>
      </c>
      <c r="E15" s="28">
        <f>IFERROR(INDEX('Channel Performance'!$H$7:$H$15,MATCH(C15,'Channel Performance'!$A$7:$A$15,0)),1)</f>
        <v/>
      </c>
      <c r="F15" s="27">
        <f>IFERROR(INDEX('Channel Performance'!$J$7:$J$15,MATCH(C15,'Channel Performance'!$A$7:$A$15,0)),"No data — pure prior")</f>
        <v/>
      </c>
      <c r="G15" s="27">
        <f>ROUND(MIN(10,MAX(1,D15*E15)),1)</f>
        <v/>
      </c>
      <c r="H15" s="15" t="inlineStr">
        <is>
          <t>Varies by firm — typically Copper/Network Setup/Cloud</t>
        </is>
      </c>
      <c r="I15" s="15" t="inlineStr">
        <is>
          <t>Sourcing list, not a single lead — mine for more MSP contacts</t>
        </is>
      </c>
      <c r="J15" s="15" t="inlineStr">
        <is>
          <t>Directory itself is real and current (Clutch.co rankings) — but each firm within it is still category-match-only until called.</t>
        </is>
      </c>
      <c r="K15" s="27" t="inlineStr"/>
      <c r="L15" s="27" t="inlineStr"/>
      <c r="M15" s="27" t="inlineStr"/>
      <c r="N15" s="27" t="inlineStr">
        <is>
          <t>clutch.co/it-services/msp/detroit</t>
        </is>
      </c>
      <c r="O15" s="29" t="inlineStr"/>
      <c r="P15" s="27" t="inlineStr">
        <is>
          <t>Not Contacted</t>
        </is>
      </c>
      <c r="Q15" s="15" t="inlineStr">
        <is>
          <t>Work the list — 10+ more MSPs to call</t>
        </is>
      </c>
      <c r="R15" s="29" t="inlineStr"/>
      <c r="S15" s="15" t="inlineStr">
        <is>
          <t>Ranked directory — use to keep expanding the MSP call list past the two named above.</t>
        </is>
      </c>
    </row>
    <row r="16">
      <c r="A16" s="12" t="inlineStr">
        <is>
          <t>Pacer Staffing (Pacer Group)</t>
        </is>
      </c>
      <c r="B16" s="20" t="n">
        <v>3</v>
      </c>
      <c r="C16" s="20" t="inlineStr">
        <is>
          <t>DC Integrator/Staffing</t>
        </is>
      </c>
      <c r="D16" s="21" t="n">
        <v>5</v>
      </c>
      <c r="E16" s="22">
        <f>IFERROR(INDEX('Channel Performance'!$H$7:$H$15,MATCH(C16,'Channel Performance'!$A$7:$A$15,0)),1)</f>
        <v/>
      </c>
      <c r="F16" s="23">
        <f>IFERROR(INDEX('Channel Performance'!$J$7:$J$15,MATCH(C16,'Channel Performance'!$A$7:$A$15,0)),"No data — pure prior")</f>
        <v/>
      </c>
      <c r="G16" s="23">
        <f>ROUND(MIN(10,MAX(1,D16*E16)),1)</f>
        <v/>
      </c>
      <c r="H16" s="24" t="inlineStr">
        <is>
          <t>Fiber, Copper/Structured Cabling, Network Setup</t>
        </is>
      </c>
      <c r="I16" s="24" t="inlineStr">
        <is>
          <t>Low-voltage/structured cabling tech roles on hyperscale builds — Year 2+ revenue</t>
        </is>
      </c>
      <c r="J16" s="24" t="inlineStr">
        <is>
          <t>Company site explicitly lists 'Low Voltage Technicians' &amp; 'Data Cabling Technician' as staffed role categories — thepacer.com/data-center-staffing-solutions</t>
        </is>
      </c>
      <c r="K16" s="25" t="inlineStr"/>
      <c r="L16" s="20" t="inlineStr">
        <is>
          <t>+1 (215) 666-0012</t>
        </is>
      </c>
      <c r="M16" s="25" t="inlineStr">
        <is>
          <t>Info@pacerstaffing.com</t>
        </is>
      </c>
      <c r="N16" s="20" t="inlineStr">
        <is>
          <t>thepacer.com/data-center-staffing-solutions</t>
        </is>
      </c>
      <c r="O16" s="26" t="inlineStr"/>
      <c r="P16" s="20" t="inlineStr">
        <is>
          <t>Not Contacted</t>
        </is>
      </c>
      <c r="Q16" s="12" t="inlineStr">
        <is>
          <t>Register as low-voltage/cabling sub for MI projects</t>
        </is>
      </c>
      <c r="R16" s="26" t="inlineStr"/>
      <c r="S16" s="12" t="inlineStr">
        <is>
          <t>National data-center staffing firm, explicitly lists low-voltage techs &amp; cabling specialists. Get on file now for Saline Barn/Lyon Twp/Van Buren buildout.</t>
        </is>
      </c>
    </row>
    <row r="17">
      <c r="A17" s="15" t="inlineStr">
        <is>
          <t>Walbridge</t>
        </is>
      </c>
      <c r="B17" s="27" t="n">
        <v>3</v>
      </c>
      <c r="C17" s="27" t="inlineStr">
        <is>
          <t>DC Integrator/Staffing</t>
        </is>
      </c>
      <c r="D17" s="27" t="n">
        <v>4</v>
      </c>
      <c r="E17" s="28">
        <f>IFERROR(INDEX('Channel Performance'!$H$7:$H$15,MATCH(C17,'Channel Performance'!$A$7:$A$15,0)),1)</f>
        <v/>
      </c>
      <c r="F17" s="27">
        <f>IFERROR(INDEX('Channel Performance'!$J$7:$J$15,MATCH(C17,'Channel Performance'!$A$7:$A$15,0)),"No data — pure prior")</f>
        <v/>
      </c>
      <c r="G17" s="27">
        <f>ROUND(MIN(10,MAX(1,D17*E17)),1)</f>
        <v/>
      </c>
      <c r="H17" s="15" t="inlineStr">
        <is>
          <t>Fiber, Copper/Structured Cabling, Network Setup, Decommissions</t>
        </is>
      </c>
      <c r="I17" s="15" t="inlineStr">
        <is>
          <t>Future sub/vendor registration for DC low-voltage packages</t>
        </is>
      </c>
      <c r="J17" s="15" t="inlineStr">
        <is>
          <t>Confirmed GC of record on the $16B Saline Barn data center project, groundbreaking June 1 2026 — enr.com/articles/63087-record-16b-data-center-project-advances-in-michigan</t>
        </is>
      </c>
      <c r="K17" s="27" t="inlineStr"/>
      <c r="L17" s="27" t="inlineStr"/>
      <c r="M17" s="27" t="inlineStr"/>
      <c r="N17" s="27" t="inlineStr">
        <is>
          <t>walbridge.com</t>
        </is>
      </c>
      <c r="O17" s="29" t="inlineStr"/>
      <c r="P17" s="27" t="inlineStr">
        <is>
          <t>Not Contacted</t>
        </is>
      </c>
      <c r="Q17" s="15" t="inlineStr">
        <is>
          <t>Find sub/vendor prequalification portal (large GCs commonly use BuildingConnected/TradeTapp — check for one)</t>
        </is>
      </c>
      <c r="R17" s="29" t="inlineStr"/>
      <c r="S17" s="15" t="inlineStr">
        <is>
          <t>Detroit GC running the $16B Saline Barn build. Long-game relationship, not a Year-1 win.</t>
        </is>
      </c>
    </row>
    <row r="18">
      <c r="A18" s="12" t="inlineStr">
        <is>
          <t>Leviton / CommScope / Panduit / Corning (via ADI rep)</t>
        </is>
      </c>
      <c r="B18" s="20" t="n">
        <v>1</v>
      </c>
      <c r="C18" s="20" t="inlineStr">
        <is>
          <t>Vendor Program</t>
        </is>
      </c>
      <c r="D18" s="21" t="n">
        <v>4</v>
      </c>
      <c r="E18" s="22">
        <f>IFERROR(INDEX('Channel Performance'!$H$7:$H$15,MATCH(C18,'Channel Performance'!$A$7:$A$15,0)),1)</f>
        <v/>
      </c>
      <c r="F18" s="23">
        <f>IFERROR(INDEX('Channel Performance'!$J$7:$J$15,MATCH(C18,'Channel Performance'!$A$7:$A$15,0)),"No data — pure prior")</f>
        <v/>
      </c>
      <c r="G18" s="23">
        <f>ROUND(MIN(10,MAX(1,D18*E18)),1)</f>
        <v/>
      </c>
      <c r="H18" s="24" t="inlineStr">
        <is>
          <t>Copper/Structured Cabling, Fiber</t>
        </is>
      </c>
      <c r="I18" s="24" t="inlineStr">
        <is>
          <t>Certified-installer status unlocks warranty-referral jobs</t>
        </is>
      </c>
      <c r="J18" s="24" t="inlineStr">
        <is>
          <t>Category match only — no specific signal found; worth a discovery call to verify current need.</t>
        </is>
      </c>
      <c r="K18" s="25" t="inlineStr"/>
      <c r="L18" s="20" t="inlineStr"/>
      <c r="M18" s="25" t="inlineStr"/>
      <c r="N18" s="20" t="inlineStr"/>
      <c r="O18" s="26" t="inlineStr"/>
      <c r="P18" s="20" t="inlineStr">
        <is>
          <t>Not Contacted</t>
        </is>
      </c>
      <c r="Q18" s="12" t="inlineStr">
        <is>
          <t>Ask ADI rep about certified-installer enrollment</t>
        </is>
      </c>
      <c r="R18" s="26" t="inlineStr"/>
      <c r="S18" s="12" t="inlineStr">
        <is>
          <t>Certified-installer status lets you bid jobs that require a certified installer of record.</t>
        </is>
      </c>
    </row>
    <row r="19">
      <c r="A19" s="15" t="inlineStr">
        <is>
          <t>Verkada / Ubiquiti dealer programs</t>
        </is>
      </c>
      <c r="B19" s="27" t="n">
        <v>2</v>
      </c>
      <c r="C19" s="27" t="inlineStr">
        <is>
          <t>Vendor Program</t>
        </is>
      </c>
      <c r="D19" s="27" t="n">
        <v>4</v>
      </c>
      <c r="E19" s="28">
        <f>IFERROR(INDEX('Channel Performance'!$H$7:$H$15,MATCH(C19,'Channel Performance'!$A$7:$A$15,0)),1)</f>
        <v/>
      </c>
      <c r="F19" s="27">
        <f>IFERROR(INDEX('Channel Performance'!$J$7:$J$15,MATCH(C19,'Channel Performance'!$A$7:$A$15,0)),"No data — pure prior")</f>
        <v/>
      </c>
      <c r="G19" s="27">
        <f>ROUND(MIN(10,MAX(1,D19*E19)),1)</f>
        <v/>
      </c>
      <c r="H19" s="15" t="inlineStr">
        <is>
          <t>Security Camera &amp; Access Control, Network Setup</t>
        </is>
      </c>
      <c r="I19" s="15" t="inlineStr">
        <is>
          <t>Installer-program referrals for camera/network install jobs</t>
        </is>
      </c>
      <c r="J19" s="15" t="inlineStr">
        <is>
          <t>Category match only — no specific signal found; worth a discovery call to verify current need.</t>
        </is>
      </c>
      <c r="K19" s="27" t="inlineStr"/>
      <c r="L19" s="27" t="inlineStr"/>
      <c r="M19" s="27" t="inlineStr"/>
      <c r="N19" s="27" t="inlineStr"/>
      <c r="O19" s="29" t="inlineStr"/>
      <c r="P19" s="27" t="inlineStr">
        <is>
          <t>Not Contacted</t>
        </is>
      </c>
      <c r="Q19" s="15" t="inlineStr">
        <is>
          <t>Apply for installer/dealer program</t>
        </is>
      </c>
      <c r="R19" s="29" t="inlineStr"/>
      <c r="S19" s="15" t="inlineStr">
        <is>
          <t>Camera/network vendors route small install jobs to registered installers in-territory.</t>
        </is>
      </c>
    </row>
    <row r="20">
      <c r="A20" s="12" t="inlineStr">
        <is>
          <t>Field Nation</t>
        </is>
      </c>
      <c r="B20" s="20" t="n">
        <v>2</v>
      </c>
      <c r="C20" s="20" t="inlineStr">
        <is>
          <t>Platform</t>
        </is>
      </c>
      <c r="D20" s="21" t="n">
        <v>6</v>
      </c>
      <c r="E20" s="22">
        <f>IFERROR(INDEX('Channel Performance'!$H$7:$H$15,MATCH(C20,'Channel Performance'!$A$7:$A$15,0)),1)</f>
        <v/>
      </c>
      <c r="F20" s="23">
        <f>IFERROR(INDEX('Channel Performance'!$J$7:$J$15,MATCH(C20,'Channel Performance'!$A$7:$A$15,0)),"No data — pure prior")</f>
        <v/>
      </c>
      <c r="G20" s="23">
        <f>ROUND(MIN(10,MAX(1,D20*E20)),1)</f>
        <v/>
      </c>
      <c r="H20" s="24" t="inlineStr">
        <is>
          <t>Copper/Structured Cabling, Fiber, Network Setup, Security Camera &amp; Access Control</t>
        </is>
      </c>
      <c r="I20" s="24" t="inlineStr">
        <is>
          <t>Paid calibration jobs; unlocks cabling project visibility once qualified</t>
        </is>
      </c>
      <c r="J20" s="24" t="inlineStr">
        <is>
          <t>Platform's own marketing explicitly lists cabling/low-voltage as a served skill category — fieldnation.com/solutions/cabling</t>
        </is>
      </c>
      <c r="K20" s="25" t="inlineStr"/>
      <c r="L20" s="20" t="inlineStr"/>
      <c r="M20" s="25" t="inlineStr"/>
      <c r="N20" s="20" t="inlineStr">
        <is>
          <t>fieldnation.com/signup</t>
        </is>
      </c>
      <c r="O20" s="26" t="inlineStr"/>
      <c r="P20" s="20" t="inlineStr">
        <is>
          <t>Not Contacted</t>
        </is>
      </c>
      <c r="Q20" s="12" t="inlineStr">
        <is>
          <t>Complete technician signup, list cabling skills</t>
        </is>
      </c>
      <c r="R20" s="26" t="inlineStr"/>
      <c r="S20" s="12" t="inlineStr">
        <is>
          <t>Requires completed work orders in last 3 months in a skill to unlock cabling project visibility — take early low-tier jobs to qualify.</t>
        </is>
      </c>
    </row>
    <row r="21">
      <c r="A21" s="15" t="inlineStr">
        <is>
          <t>WorkMarket</t>
        </is>
      </c>
      <c r="B21" s="27" t="n">
        <v>2</v>
      </c>
      <c r="C21" s="27" t="inlineStr">
        <is>
          <t>Platform</t>
        </is>
      </c>
      <c r="D21" s="27" t="n">
        <v>5</v>
      </c>
      <c r="E21" s="28">
        <f>IFERROR(INDEX('Channel Performance'!$H$7:$H$15,MATCH(C21,'Channel Performance'!$A$7:$A$15,0)),1)</f>
        <v/>
      </c>
      <c r="F21" s="27">
        <f>IFERROR(INDEX('Channel Performance'!$J$7:$J$15,MATCH(C21,'Channel Performance'!$A$7:$A$15,0)),"No data — pure prior")</f>
        <v/>
      </c>
      <c r="G21" s="27">
        <f>ROUND(MIN(10,MAX(1,D21*E21)),1)</f>
        <v/>
      </c>
      <c r="H21" s="15" t="inlineStr">
        <is>
          <t>Copper/Structured Cabling, Fiber, Network Setup, Security Camera &amp; Access Control</t>
        </is>
      </c>
      <c r="I21" s="15" t="inlineStr">
        <is>
          <t>Second labor marketplace — run in parallel with Field Nation</t>
        </is>
      </c>
      <c r="J21" s="15" t="inlineStr">
        <is>
          <t>Category match only — no specific signal found; worth a discovery call to verify current need.</t>
        </is>
      </c>
      <c r="K21" s="27" t="inlineStr"/>
      <c r="L21" s="27" t="inlineStr"/>
      <c r="M21" s="27" t="inlineStr"/>
      <c r="N21" s="27" t="inlineStr">
        <is>
          <t>workmarket.com</t>
        </is>
      </c>
      <c r="O21" s="29" t="inlineStr"/>
      <c r="P21" s="27" t="inlineStr">
        <is>
          <t>Not Contacted</t>
        </is>
      </c>
      <c r="Q21" s="15" t="inlineStr">
        <is>
          <t>Complete technician signup</t>
        </is>
      </c>
      <c r="R21" s="29" t="inlineStr"/>
      <c r="S21" s="15" t="inlineStr"/>
    </row>
    <row r="22">
      <c r="A22" s="12" t="inlineStr">
        <is>
          <t>The Blue Book Network</t>
        </is>
      </c>
      <c r="B22" s="20" t="n">
        <v>2</v>
      </c>
      <c r="C22" s="20" t="inlineStr">
        <is>
          <t>Bid Board</t>
        </is>
      </c>
      <c r="D22" s="21" t="n">
        <v>4</v>
      </c>
      <c r="E22" s="22">
        <f>IFERROR(INDEX('Channel Performance'!$H$7:$H$15,MATCH(C22,'Channel Performance'!$A$7:$A$15,0)),1)</f>
        <v/>
      </c>
      <c r="F22" s="23">
        <f>IFERROR(INDEX('Channel Performance'!$J$7:$J$15,MATCH(C22,'Channel Performance'!$A$7:$A$15,0)),"No data — pure prior")</f>
        <v/>
      </c>
      <c r="G22" s="23">
        <f>ROUND(MIN(10,MAX(1,D22*E22)),1)</f>
        <v/>
      </c>
      <c r="H22" s="24" t="inlineStr">
        <is>
          <t>Varies by posted project</t>
        </is>
      </c>
      <c r="I22" s="24" t="inlineStr">
        <is>
          <t>Passive lead gen — GCs search this to find subs</t>
        </is>
      </c>
      <c r="J22" s="24" t="inlineStr">
        <is>
          <t>Category match only — no specific signal found; worth a discovery call to verify current need.</t>
        </is>
      </c>
      <c r="K22" s="25" t="inlineStr"/>
      <c r="L22" s="20" t="inlineStr"/>
      <c r="M22" s="25" t="inlineStr"/>
      <c r="N22" s="20" t="inlineStr">
        <is>
          <t>thebluebook.com</t>
        </is>
      </c>
      <c r="O22" s="26" t="inlineStr"/>
      <c r="P22" s="20" t="inlineStr">
        <is>
          <t>Not Contacted</t>
        </is>
      </c>
      <c r="Q22" s="12" t="inlineStr">
        <is>
          <t>Create free contractor listing</t>
        </is>
      </c>
      <c r="R22" s="26" t="inlineStr"/>
      <c r="S22" s="12" t="inlineStr">
        <is>
          <t>Free. One-afternoon task.</t>
        </is>
      </c>
    </row>
    <row r="23">
      <c r="A23" s="15" t="inlineStr">
        <is>
          <t>PlanHub</t>
        </is>
      </c>
      <c r="B23" s="27" t="n">
        <v>2</v>
      </c>
      <c r="C23" s="27" t="inlineStr">
        <is>
          <t>Bid Board</t>
        </is>
      </c>
      <c r="D23" s="27" t="n">
        <v>5</v>
      </c>
      <c r="E23" s="28">
        <f>IFERROR(INDEX('Channel Performance'!$H$7:$H$15,MATCH(C23,'Channel Performance'!$A$7:$A$15,0)),1)</f>
        <v/>
      </c>
      <c r="F23" s="27">
        <f>IFERROR(INDEX('Channel Performance'!$J$7:$J$15,MATCH(C23,'Channel Performance'!$A$7:$A$15,0)),"No data — pure prior")</f>
        <v/>
      </c>
      <c r="G23" s="27">
        <f>ROUND(MIN(10,MAX(1,D23*E23)),1)</f>
        <v/>
      </c>
      <c r="H23" s="15" t="inlineStr">
        <is>
          <t>Varies by posted project — electrical/low-voltage packages</t>
        </is>
      </c>
      <c r="I23" s="15" t="inlineStr">
        <is>
          <t>Electrical/low-voltage subcontract bid opportunities</t>
        </is>
      </c>
      <c r="J23" s="15" t="inlineStr">
        <is>
          <t>Category match only — no specific signal found; worth a discovery call to verify current need.</t>
        </is>
      </c>
      <c r="K23" s="27" t="inlineStr"/>
      <c r="L23" s="27" t="inlineStr"/>
      <c r="M23" s="27" t="inlineStr"/>
      <c r="N23" s="27" t="inlineStr">
        <is>
          <t>planhub.com</t>
        </is>
      </c>
      <c r="O23" s="29" t="inlineStr"/>
      <c r="P23" s="27" t="inlineStr">
        <is>
          <t>Not Contacted</t>
        </is>
      </c>
      <c r="Q23" s="15" t="inlineStr">
        <is>
          <t>Register, watch for electrical/low-voltage packages</t>
        </is>
      </c>
      <c r="R23" s="29" t="inlineStr"/>
      <c r="S23" s="15" t="inlineStr">
        <is>
          <t>GCs post plans here — more winnable than government bid boards for a new solo op.</t>
        </is>
      </c>
    </row>
    <row r="24">
      <c r="A24" s="12" t="inlineStr">
        <is>
          <t>ConstructConnect / Dodge</t>
        </is>
      </c>
      <c r="B24" s="20" t="n">
        <v>2</v>
      </c>
      <c r="C24" s="20" t="inlineStr">
        <is>
          <t>Bid Board</t>
        </is>
      </c>
      <c r="D24" s="21" t="n">
        <v>4</v>
      </c>
      <c r="E24" s="22">
        <f>IFERROR(INDEX('Channel Performance'!$H$7:$H$15,MATCH(C24,'Channel Performance'!$A$7:$A$15,0)),1)</f>
        <v/>
      </c>
      <c r="F24" s="23">
        <f>IFERROR(INDEX('Channel Performance'!$J$7:$J$15,MATCH(C24,'Channel Performance'!$A$7:$A$15,0)),"No data — pure prior")</f>
        <v/>
      </c>
      <c r="G24" s="23">
        <f>ROUND(MIN(10,MAX(1,D24*E24)),1)</f>
        <v/>
      </c>
      <c r="H24" s="24" t="inlineStr">
        <is>
          <t>Varies by posted project</t>
        </is>
      </c>
      <c r="I24" s="24" t="inlineStr">
        <is>
          <t>Higher-value bid leads, paid plan room</t>
        </is>
      </c>
      <c r="J24" s="24" t="inlineStr">
        <is>
          <t>Category match only — no specific signal found; worth a discovery call to verify current need.</t>
        </is>
      </c>
      <c r="K24" s="25" t="inlineStr"/>
      <c r="L24" s="20" t="inlineStr"/>
      <c r="M24" s="25" t="inlineStr"/>
      <c r="N24" s="20" t="inlineStr">
        <is>
          <t>constructconnect.com</t>
        </is>
      </c>
      <c r="O24" s="26" t="inlineStr"/>
      <c r="P24" s="20" t="inlineStr">
        <is>
          <t>Not Contacted</t>
        </is>
      </c>
      <c r="Q24" s="12" t="inlineStr">
        <is>
          <t>Evaluate paid plan-room subscription</t>
        </is>
      </c>
      <c r="R24" s="26" t="inlineStr"/>
      <c r="S24" s="12" t="inlineStr">
        <is>
          <t>Worth revisiting once cash flow supports it.</t>
        </is>
      </c>
    </row>
    <row r="25">
      <c r="A25" s="15" t="inlineStr">
        <is>
          <t>MITN / BidNet (Michigan municipal)</t>
        </is>
      </c>
      <c r="B25" s="27" t="n">
        <v>2</v>
      </c>
      <c r="C25" s="27" t="inlineStr">
        <is>
          <t>Bid Board</t>
        </is>
      </c>
      <c r="D25" s="27" t="n">
        <v>3</v>
      </c>
      <c r="E25" s="28">
        <f>IFERROR(INDEX('Channel Performance'!$H$7:$H$15,MATCH(C25,'Channel Performance'!$A$7:$A$15,0)),1)</f>
        <v/>
      </c>
      <c r="F25" s="27">
        <f>IFERROR(INDEX('Channel Performance'!$J$7:$J$15,MATCH(C25,'Channel Performance'!$A$7:$A$15,0)),"No data — pure prior")</f>
        <v/>
      </c>
      <c r="G25" s="27">
        <f>ROUND(MIN(10,MAX(1,D25*E25)),1)</f>
        <v/>
      </c>
      <c r="H25" s="15" t="inlineStr">
        <is>
          <t>Copper/Structured Cabling, Fiber, Network Setup</t>
        </is>
      </c>
      <c r="I25" s="15" t="inlineStr">
        <is>
          <t>Municipal bids incl. E-Rate school cabling</t>
        </is>
      </c>
      <c r="J25" s="15" t="inlineStr">
        <is>
          <t>Category match only — no specific signal found; worth a discovery call to verify current need.</t>
        </is>
      </c>
      <c r="K25" s="27" t="inlineStr"/>
      <c r="L25" s="27" t="inlineStr"/>
      <c r="M25" s="27" t="inlineStr"/>
      <c r="N25" s="27" t="inlineStr">
        <is>
          <t>bidnetdirect.com/mitn</t>
        </is>
      </c>
      <c r="O25" s="29" t="inlineStr"/>
      <c r="P25" s="27" t="inlineStr">
        <is>
          <t>Not Contacted</t>
        </is>
      </c>
      <c r="Q25" s="15" t="inlineStr">
        <is>
          <t>Register (free)</t>
        </is>
      </c>
      <c r="R25" s="29" t="inlineStr"/>
      <c r="S25" s="15" t="inlineStr">
        <is>
          <t>Hard to win as a brand-new solo op without past performance — register and watch.</t>
        </is>
      </c>
    </row>
    <row r="26">
      <c r="A26" s="12" t="inlineStr">
        <is>
          <t>SIGMA — State of Michigan vendor registration</t>
        </is>
      </c>
      <c r="B26" s="20" t="n">
        <v>2</v>
      </c>
      <c r="C26" s="20" t="inlineStr">
        <is>
          <t>Bid Board</t>
        </is>
      </c>
      <c r="D26" s="21" t="n">
        <v>3</v>
      </c>
      <c r="E26" s="22">
        <f>IFERROR(INDEX('Channel Performance'!$H$7:$H$15,MATCH(C26,'Channel Performance'!$A$7:$A$15,0)),1)</f>
        <v/>
      </c>
      <c r="F26" s="23">
        <f>IFERROR(INDEX('Channel Performance'!$J$7:$J$15,MATCH(C26,'Channel Performance'!$A$7:$A$15,0)),"No data — pure prior")</f>
        <v/>
      </c>
      <c r="G26" s="23">
        <f>ROUND(MIN(10,MAX(1,D26*E26)),1)</f>
        <v/>
      </c>
      <c r="H26" s="24" t="inlineStr">
        <is>
          <t>Varies by posted contract</t>
        </is>
      </c>
      <c r="I26" s="24" t="inlineStr">
        <is>
          <t>State contract eligibility, long game</t>
        </is>
      </c>
      <c r="J26" s="24" t="inlineStr">
        <is>
          <t>Category match only — no specific signal found; worth a discovery call to verify current need.</t>
        </is>
      </c>
      <c r="K26" s="25" t="inlineStr"/>
      <c r="L26" s="20" t="inlineStr"/>
      <c r="M26" s="25" t="inlineStr"/>
      <c r="N26" s="20" t="inlineStr">
        <is>
          <t>sigma.michigan.gov</t>
        </is>
      </c>
      <c r="O26" s="26" t="inlineStr"/>
      <c r="P26" s="20" t="inlineStr">
        <is>
          <t>Not Contacted</t>
        </is>
      </c>
      <c r="Q26" s="12" t="inlineStr">
        <is>
          <t>Register as vendor</t>
        </is>
      </c>
      <c r="R26" s="26" t="inlineStr"/>
      <c r="S26" s="12" t="inlineStr">
        <is>
          <t>Register and monitor; don't depend on it for Year 1 revenue.</t>
        </is>
      </c>
    </row>
    <row r="27">
      <c r="A27" s="15" t="inlineStr">
        <is>
          <t>SAM.gov (federal)</t>
        </is>
      </c>
      <c r="B27" s="27" t="n">
        <v>2</v>
      </c>
      <c r="C27" s="27" t="inlineStr">
        <is>
          <t>Bid Board</t>
        </is>
      </c>
      <c r="D27" s="27" t="n">
        <v>3</v>
      </c>
      <c r="E27" s="28">
        <f>IFERROR(INDEX('Channel Performance'!$H$7:$H$15,MATCH(C27,'Channel Performance'!$A$7:$A$15,0)),1)</f>
        <v/>
      </c>
      <c r="F27" s="27">
        <f>IFERROR(INDEX('Channel Performance'!$J$7:$J$15,MATCH(C27,'Channel Performance'!$A$7:$A$15,0)),"No data — pure prior")</f>
        <v/>
      </c>
      <c r="G27" s="27">
        <f>ROUND(MIN(10,MAX(1,D27*E27)),1)</f>
        <v/>
      </c>
      <c r="H27" s="15" t="inlineStr">
        <is>
          <t>Varies by posted contract</t>
        </is>
      </c>
      <c r="I27" s="15" t="inlineStr">
        <is>
          <t>Federal contracting eligibility, Year 2+ channel</t>
        </is>
      </c>
      <c r="J27" s="15" t="inlineStr">
        <is>
          <t>Category match only — no specific signal found; worth a discovery call to verify current need.</t>
        </is>
      </c>
      <c r="K27" s="27" t="inlineStr"/>
      <c r="L27" s="27" t="inlineStr"/>
      <c r="M27" s="27" t="inlineStr"/>
      <c r="N27" s="27" t="inlineStr">
        <is>
          <t>sam.gov</t>
        </is>
      </c>
      <c r="O27" s="29" t="inlineStr"/>
      <c r="P27" s="27" t="inlineStr">
        <is>
          <t>Not Contacted</t>
        </is>
      </c>
      <c r="Q27" s="15" t="inlineStr">
        <is>
          <t>Get UEI number, register</t>
        </is>
      </c>
      <c r="R27" s="29" t="inlineStr"/>
      <c r="S27" s="15" t="inlineStr">
        <is>
          <t>UEI issuance can take time — register early even though this is a long-term play.</t>
        </is>
      </c>
    </row>
    <row r="28">
      <c r="A28" s="12" t="inlineStr">
        <is>
          <t>J. Simon &amp; Sons Electrical Contractors</t>
        </is>
      </c>
      <c r="B28" s="20" t="n">
        <v>1</v>
      </c>
      <c r="C28" s="20" t="inlineStr">
        <is>
          <t>TI Electrical/GC</t>
        </is>
      </c>
      <c r="D28" s="21" t="n">
        <v>6</v>
      </c>
      <c r="E28" s="22">
        <f>IFERROR(INDEX('Channel Performance'!$H$7:$H$15,MATCH(C28,'Channel Performance'!$A$7:$A$15,0)),1)</f>
        <v/>
      </c>
      <c r="F28" s="23">
        <f>IFERROR(INDEX('Channel Performance'!$J$7:$J$15,MATCH(C28,'Channel Performance'!$A$7:$A$15,0)),"No data — pure prior")</f>
        <v/>
      </c>
      <c r="G28" s="23">
        <f>ROUND(MIN(10,MAX(1,D28*E28)),1)</f>
        <v/>
      </c>
      <c r="H28" s="24" t="inlineStr">
        <is>
          <t>Copper/Structured Cabling, Network Setup</t>
        </is>
      </c>
      <c r="I28" s="24" t="inlineStr">
        <is>
          <t>Sub out low-voltage on their commercial tenant buildout jobs</t>
        </is>
      </c>
      <c r="J28" s="24" t="inlineStr">
        <is>
          <t>Site explicitly markets commercial tenant buildout + office property electrical services — jsimonelectric.com/commercial-tenant-buildouts</t>
        </is>
      </c>
      <c r="K28" s="25" t="inlineStr"/>
      <c r="L28" s="20" t="inlineStr">
        <is>
          <t>(248) 399-4640</t>
        </is>
      </c>
      <c r="M28" s="25" t="inlineStr"/>
      <c r="N28" s="20" t="inlineStr">
        <is>
          <t>jsimonelectric.com</t>
        </is>
      </c>
      <c r="O28" s="26" t="inlineStr"/>
      <c r="P28" s="20" t="inlineStr">
        <is>
          <t>Not Contacted</t>
        </is>
      </c>
      <c r="Q28" s="12" t="inlineStr">
        <is>
          <t>Call: intro as low-voltage sub for their TI jobs</t>
        </is>
      </c>
      <c r="R28" s="26" t="inlineStr"/>
      <c r="S28" s="12" t="inlineStr">
        <is>
          <t>Metro Detroit electrical contractor. Real, sourced fill for the TI Electrical/GC channel — this channel had zero named companies before.</t>
        </is>
      </c>
    </row>
    <row r="29">
      <c r="A29" s="15" t="inlineStr">
        <is>
          <t>Sheker Construction</t>
        </is>
      </c>
      <c r="B29" s="27" t="n">
        <v>1</v>
      </c>
      <c r="C29" s="27" t="inlineStr">
        <is>
          <t>TI Electrical/GC</t>
        </is>
      </c>
      <c r="D29" s="27" t="n">
        <v>6</v>
      </c>
      <c r="E29" s="28">
        <f>IFERROR(INDEX('Channel Performance'!$H$7:$H$15,MATCH(C29,'Channel Performance'!$A$7:$A$15,0)),1)</f>
        <v/>
      </c>
      <c r="F29" s="27">
        <f>IFERROR(INDEX('Channel Performance'!$J$7:$J$15,MATCH(C29,'Channel Performance'!$A$7:$A$15,0)),"No data — pure prior")</f>
        <v/>
      </c>
      <c r="G29" s="27">
        <f>ROUND(MIN(10,MAX(1,D29*E29)),1)</f>
        <v/>
      </c>
      <c r="H29" s="15" t="inlineStr">
        <is>
          <t>Copper/Structured Cabling, Network Setup, Decommissions</t>
        </is>
      </c>
      <c r="I29" s="15" t="inlineStr">
        <is>
          <t>Sub out low-voltage on office build-out/TI projects</t>
        </is>
      </c>
      <c r="J29" s="15" t="inlineStr">
        <is>
          <t>Site lists office build-outs as a core industry vertical — shekerconstruction.com/industries/office-build-outs</t>
        </is>
      </c>
      <c r="K29" s="27" t="inlineStr"/>
      <c r="L29" s="27" t="inlineStr"/>
      <c r="M29" s="27" t="inlineStr"/>
      <c r="N29" s="27" t="inlineStr">
        <is>
          <t>shekerconstruction.com</t>
        </is>
      </c>
      <c r="O29" s="29" t="inlineStr"/>
      <c r="P29" s="27" t="inlineStr">
        <is>
          <t>Not Contacted</t>
        </is>
      </c>
      <c r="Q29" s="15" t="inlineStr">
        <is>
          <t>Call: intro as low-voltage sub for their TI jobs</t>
        </is>
      </c>
      <c r="R29" s="29" t="inlineStr"/>
      <c r="S29" s="15" t="inlineStr">
        <is>
          <t>Oakland County/SE Michigan GC specializing in tenant improvement/build-out.</t>
        </is>
      </c>
    </row>
    <row r="30">
      <c r="A30" s="12" t="inlineStr">
        <is>
          <t>Metro General Contractors, Inc.</t>
        </is>
      </c>
      <c r="B30" s="20" t="n">
        <v>2</v>
      </c>
      <c r="C30" s="20" t="inlineStr">
        <is>
          <t>TI Electrical/GC</t>
        </is>
      </c>
      <c r="D30" s="21" t="n">
        <v>5</v>
      </c>
      <c r="E30" s="22">
        <f>IFERROR(INDEX('Channel Performance'!$H$7:$H$15,MATCH(C30,'Channel Performance'!$A$7:$A$15,0)),1)</f>
        <v/>
      </c>
      <c r="F30" s="23">
        <f>IFERROR(INDEX('Channel Performance'!$J$7:$J$15,MATCH(C30,'Channel Performance'!$A$7:$A$15,0)),"No data — pure prior")</f>
        <v/>
      </c>
      <c r="G30" s="23">
        <f>ROUND(MIN(10,MAX(1,D30*E30)),1)</f>
        <v/>
      </c>
      <c r="H30" s="24" t="inlineStr">
        <is>
          <t>Copper/Structured Cabling, Network Setup</t>
        </is>
      </c>
      <c r="I30" s="24" t="inlineStr">
        <is>
          <t>Sub out low-voltage on office/commercial buildout projects</t>
        </is>
      </c>
      <c r="J30" s="24" t="inlineStr">
        <is>
          <t>Site lists office/tenant improvement buildouts among project types — metrogeneralcontractorsinc.com</t>
        </is>
      </c>
      <c r="K30" s="25" t="inlineStr"/>
      <c r="L30" s="20" t="inlineStr">
        <is>
          <t>(248) 615-1111</t>
        </is>
      </c>
      <c r="M30" s="25" t="inlineStr"/>
      <c r="N30" s="20" t="inlineStr">
        <is>
          <t>metrogeneralcontractorsinc.com</t>
        </is>
      </c>
      <c r="O30" s="26" t="inlineStr"/>
      <c r="P30" s="20" t="inlineStr">
        <is>
          <t>Not Contacted</t>
        </is>
      </c>
      <c r="Q30" s="12" t="inlineStr">
        <is>
          <t>Call: intro as low-voltage sub for their TI jobs</t>
        </is>
      </c>
      <c r="R30" s="26" t="inlineStr"/>
      <c r="S30" s="12" t="inlineStr">
        <is>
          <t>Wixom, MI. Commercial construction buildouts across Michigan.</t>
        </is>
      </c>
    </row>
    <row r="31">
      <c r="A31" s="15" t="inlineStr">
        <is>
          <t>Barton Malow</t>
        </is>
      </c>
      <c r="B31" s="27" t="n">
        <v>2</v>
      </c>
      <c r="C31" s="27" t="inlineStr">
        <is>
          <t>TI Electrical/GC</t>
        </is>
      </c>
      <c r="D31" s="27" t="n">
        <v>5</v>
      </c>
      <c r="E31" s="28">
        <f>IFERROR(INDEX('Channel Performance'!$H$7:$H$15,MATCH(C31,'Channel Performance'!$A$7:$A$15,0)),1)</f>
        <v/>
      </c>
      <c r="F31" s="27">
        <f>IFERROR(INDEX('Channel Performance'!$J$7:$J$15,MATCH(C31,'Channel Performance'!$A$7:$A$15,0)),"No data — pure prior")</f>
        <v/>
      </c>
      <c r="G31" s="27">
        <f>ROUND(MIN(10,MAX(1,D31*E31)),1)</f>
        <v/>
      </c>
      <c r="H31" s="15" t="inlineStr">
        <is>
          <t>Copper/Structured Cabling, Fiber, Network Setup, Decommissions</t>
        </is>
      </c>
      <c r="I31" s="15" t="inlineStr">
        <is>
          <t>Prequalify as a low-voltage sub for future project packages</t>
        </is>
      </c>
      <c r="J31" s="15" t="inlineStr">
        <is>
          <t>Publishes a subcontractor/vendor prequalification process via BuildingConnected — bartonmalow.com/subcontractors</t>
        </is>
      </c>
      <c r="K31" s="27" t="inlineStr"/>
      <c r="L31" s="27" t="inlineStr"/>
      <c r="M31" s="27" t="inlineStr"/>
      <c r="N31" s="27" t="inlineStr">
        <is>
          <t>bartonmalow.com/subcontractors</t>
        </is>
      </c>
      <c r="O31" s="29" t="inlineStr"/>
      <c r="P31" s="27" t="inlineStr">
        <is>
          <t>Not Contacted</t>
        </is>
      </c>
      <c r="Q31" s="15" t="inlineStr">
        <is>
          <t>Submit sub prequalification via BuildingConnected portal</t>
        </is>
      </c>
      <c r="R31" s="29" t="inlineStr"/>
      <c r="S31" s="15" t="inlineStr">
        <is>
          <t>Southfield, MI. Major GC (founded 1924 in Detroit) — large-project scale, procedural access via prequalification rather than a warm call.</t>
        </is>
      </c>
    </row>
    <row r="32">
      <c r="A32" s="12" t="inlineStr">
        <is>
          <t>DeMaria Building Company</t>
        </is>
      </c>
      <c r="B32" s="20" t="n">
        <v>2</v>
      </c>
      <c r="C32" s="20" t="inlineStr">
        <is>
          <t>TI Electrical/GC</t>
        </is>
      </c>
      <c r="D32" s="21" t="n">
        <v>4</v>
      </c>
      <c r="E32" s="22">
        <f>IFERROR(INDEX('Channel Performance'!$H$7:$H$15,MATCH(C32,'Channel Performance'!$A$7:$A$15,0)),1)</f>
        <v/>
      </c>
      <c r="F32" s="23">
        <f>IFERROR(INDEX('Channel Performance'!$J$7:$J$15,MATCH(C32,'Channel Performance'!$A$7:$A$15,0)),"No data — pure prior")</f>
        <v/>
      </c>
      <c r="G32" s="23">
        <f>ROUND(MIN(10,MAX(1,D32*E32)),1)</f>
        <v/>
      </c>
      <c r="H32" s="24" t="inlineStr">
        <is>
          <t>Copper/Structured Cabling, Fiber, Network Setup</t>
        </is>
      </c>
      <c r="I32" s="24" t="inlineStr">
        <is>
          <t>Prequalify as a low-voltage sub for future project packages</t>
        </is>
      </c>
      <c r="J32" s="24" t="inlineStr">
        <is>
          <t>Active Detroit-area GC with 39+ tracked projects per Levelset's contractor directory — levelset.com/contractors/list/michigan/detroit</t>
        </is>
      </c>
      <c r="K32" s="25" t="inlineStr"/>
      <c r="L32" s="20" t="inlineStr"/>
      <c r="M32" s="25" t="inlineStr"/>
      <c r="N32" s="20" t="inlineStr"/>
      <c r="O32" s="26" t="inlineStr"/>
      <c r="P32" s="20" t="inlineStr">
        <is>
          <t>Not Contacted</t>
        </is>
      </c>
      <c r="Q32" s="12" t="inlineStr">
        <is>
          <t>Find and submit sub prequalification</t>
        </is>
      </c>
      <c r="R32" s="26" t="inlineStr"/>
      <c r="S32" s="12" t="inlineStr">
        <is>
          <t>Detroit-based GC.</t>
        </is>
      </c>
    </row>
    <row r="33">
      <c r="A33" s="15" t="inlineStr">
        <is>
          <t>BOMA Metro Detroit — Vendor Membership</t>
        </is>
      </c>
      <c r="B33" s="27" t="n">
        <v>1</v>
      </c>
      <c r="C33" s="27" t="inlineStr">
        <is>
          <t>Association/Networking</t>
        </is>
      </c>
      <c r="D33" s="27" t="n">
        <v>6</v>
      </c>
      <c r="E33" s="28">
        <f>IFERROR(INDEX('Channel Performance'!$H$7:$H$15,MATCH(C33,'Channel Performance'!$A$7:$A$15,0)),1)</f>
        <v/>
      </c>
      <c r="F33" s="27">
        <f>IFERROR(INDEX('Channel Performance'!$J$7:$J$15,MATCH(C33,'Channel Performance'!$A$7:$A$15,0)),"No data — pure prior")</f>
        <v/>
      </c>
      <c r="G33" s="27">
        <f>ROUND(MIN(10,MAX(1,D33*E33)),1)</f>
        <v/>
      </c>
      <c r="H33" s="15" t="inlineStr">
        <is>
          <t>Varies — networking/relationship channel</t>
        </is>
      </c>
      <c r="I33" s="15" t="inlineStr">
        <is>
          <t>Vendor membership puts you in front of the property/facility managers who ARE Tier 1 — not one lead, a recurring room full of them</t>
        </is>
      </c>
      <c r="J33" s="15" t="inlineStr">
        <is>
          <t>Trade association explicitly for commercial building owners/managers with a vendor membership category; hosts a Trade Fair at Eastern Market plus recurring networking events — bomadet.org/membership, boma.org</t>
        </is>
      </c>
      <c r="K33" s="27" t="inlineStr"/>
      <c r="L33" s="27" t="inlineStr">
        <is>
          <t>313-483-7702</t>
        </is>
      </c>
      <c r="M33" s="27" t="inlineStr">
        <is>
          <t>info@bomadet.org</t>
        </is>
      </c>
      <c r="N33" s="27" t="inlineStr">
        <is>
          <t>bomadet.org</t>
        </is>
      </c>
      <c r="O33" s="29" t="inlineStr"/>
      <c r="P33" s="27" t="inlineStr">
        <is>
          <t>Not Contacted</t>
        </is>
      </c>
      <c r="Q33" s="15" t="inlineStr">
        <is>
          <t>Call for vendor membership pricing + ask when the next Trade Fair is</t>
        </is>
      </c>
      <c r="R33" s="29" t="inlineStr"/>
      <c r="S33" s="15" t="inlineStr">
        <is>
          <t>12900 Hall Road, Suite 180, Sterling Heights, MI 48313. Membership cost not published online — call to get it.</t>
        </is>
      </c>
    </row>
    <row r="34">
      <c r="A34" s="12" t="inlineStr">
        <is>
          <t>IREM Michigan (Chapter 5)</t>
        </is>
      </c>
      <c r="B34" s="20" t="n">
        <v>1</v>
      </c>
      <c r="C34" s="20" t="inlineStr">
        <is>
          <t>Association/Networking</t>
        </is>
      </c>
      <c r="D34" s="21" t="n">
        <v>6</v>
      </c>
      <c r="E34" s="22">
        <f>IFERROR(INDEX('Channel Performance'!$H$7:$H$15,MATCH(C34,'Channel Performance'!$A$7:$A$15,0)),1)</f>
        <v/>
      </c>
      <c r="F34" s="23">
        <f>IFERROR(INDEX('Channel Performance'!$J$7:$J$15,MATCH(C34,'Channel Performance'!$A$7:$A$15,0)),"No data — pure prior")</f>
        <v/>
      </c>
      <c r="G34" s="23">
        <f>ROUND(MIN(10,MAX(1,D34*E34)),1)</f>
        <v/>
      </c>
      <c r="H34" s="24" t="inlineStr">
        <is>
          <t>Varies — networking/relationship channel</t>
        </is>
      </c>
      <c r="I34" s="24" t="inlineStr">
        <is>
          <t>Membership + events puts you directly in front of real estate/property managers across SE Michigan</t>
        </is>
      </c>
      <c r="J34" s="24" t="inlineStr">
        <is>
          <t>Real estate management trade association for SE Michigan; confirmed 9th Annual Sporting Clays Classic Aug 20, 2026 at Bald Mountain, Lake Orion — iremmi5.org</t>
        </is>
      </c>
      <c r="K34" s="25" t="inlineStr"/>
      <c r="L34" s="20" t="inlineStr">
        <is>
          <t>734-655-0268</t>
        </is>
      </c>
      <c r="M34" s="25" t="inlineStr"/>
      <c r="N34" s="20" t="inlineStr">
        <is>
          <t>iremmi5.org</t>
        </is>
      </c>
      <c r="O34" s="26" t="inlineStr"/>
      <c r="P34" s="20" t="inlineStr">
        <is>
          <t>Not Contacted</t>
        </is>
      </c>
      <c r="Q34" s="12" t="inlineStr">
        <is>
          <t>Call re: membership + register for the Aug 20, 2026 Sporting Clays Classic if timing works</t>
        </is>
      </c>
      <c r="R34" s="26" t="inlineStr"/>
      <c r="S34" s="12" t="inlineStr">
        <is>
          <t>SE Michigan chapter, founded 1939. Time-sensitive: the Sporting Clays event is ~8 days out from when this was added (Aug 12, 2026) — verify date/registration is still open before counting on it.</t>
        </is>
      </c>
    </row>
    <row r="35">
      <c r="D35" s="30" t="n"/>
      <c r="E35" s="31">
        <f>IFERROR(INDEX('Channel Performance'!$H$7:$H$15,MATCH(C35,'Channel Performance'!$A$7:$A$15,0)),1)</f>
        <v/>
      </c>
      <c r="F35" s="32">
        <f>IFERROR(INDEX('Channel Performance'!$J$7:$J$15,MATCH(C35,'Channel Performance'!$A$7:$A$15,0)),"No data — pure prior")</f>
        <v/>
      </c>
      <c r="G35" s="32">
        <f>IFERROR(ROUND(MIN(10,MAX(1,D35*E35)),1),"")</f>
        <v/>
      </c>
      <c r="H35" s="30" t="n"/>
      <c r="I35" s="30" t="n"/>
      <c r="J35" s="30" t="n"/>
      <c r="K35" s="33" t="n"/>
      <c r="M35" s="33" t="n"/>
      <c r="O35" s="34" t="n"/>
      <c r="R35" s="34" t="n"/>
    </row>
    <row r="36">
      <c r="D36" s="30" t="n"/>
      <c r="E36" s="31">
        <f>IFERROR(INDEX('Channel Performance'!$H$7:$H$15,MATCH(C36,'Channel Performance'!$A$7:$A$15,0)),1)</f>
        <v/>
      </c>
      <c r="F36" s="32">
        <f>IFERROR(INDEX('Channel Performance'!$J$7:$J$15,MATCH(C36,'Channel Performance'!$A$7:$A$15,0)),"No data — pure prior")</f>
        <v/>
      </c>
      <c r="G36" s="32">
        <f>IFERROR(ROUND(MIN(10,MAX(1,D36*E36)),1),"")</f>
        <v/>
      </c>
      <c r="H36" s="30" t="n"/>
      <c r="I36" s="30" t="n"/>
      <c r="J36" s="30" t="n"/>
      <c r="K36" s="33" t="n"/>
      <c r="M36" s="33" t="n"/>
      <c r="O36" s="34" t="n"/>
      <c r="R36" s="34" t="n"/>
    </row>
    <row r="37">
      <c r="D37" s="30" t="n"/>
      <c r="E37" s="31">
        <f>IFERROR(INDEX('Channel Performance'!$H$7:$H$15,MATCH(C37,'Channel Performance'!$A$7:$A$15,0)),1)</f>
        <v/>
      </c>
      <c r="F37" s="32">
        <f>IFERROR(INDEX('Channel Performance'!$J$7:$J$15,MATCH(C37,'Channel Performance'!$A$7:$A$15,0)),"No data — pure prior")</f>
        <v/>
      </c>
      <c r="G37" s="32">
        <f>IFERROR(ROUND(MIN(10,MAX(1,D37*E37)),1),"")</f>
        <v/>
      </c>
      <c r="H37" s="30" t="n"/>
      <c r="I37" s="30" t="n"/>
      <c r="J37" s="30" t="n"/>
      <c r="K37" s="33" t="n"/>
      <c r="M37" s="33" t="n"/>
      <c r="O37" s="34" t="n"/>
      <c r="R37" s="34" t="n"/>
    </row>
    <row r="38">
      <c r="D38" s="30" t="n"/>
      <c r="E38" s="31">
        <f>IFERROR(INDEX('Channel Performance'!$H$7:$H$15,MATCH(C38,'Channel Performance'!$A$7:$A$15,0)),1)</f>
        <v/>
      </c>
      <c r="F38" s="32">
        <f>IFERROR(INDEX('Channel Performance'!$J$7:$J$15,MATCH(C38,'Channel Performance'!$A$7:$A$15,0)),"No data — pure prior")</f>
        <v/>
      </c>
      <c r="G38" s="32">
        <f>IFERROR(ROUND(MIN(10,MAX(1,D38*E38)),1),"")</f>
        <v/>
      </c>
      <c r="H38" s="30" t="n"/>
      <c r="I38" s="30" t="n"/>
      <c r="J38" s="30" t="n"/>
      <c r="K38" s="33" t="n"/>
      <c r="M38" s="33" t="n"/>
      <c r="O38" s="34" t="n"/>
      <c r="R38" s="34" t="n"/>
    </row>
    <row r="39">
      <c r="D39" s="30" t="n"/>
      <c r="E39" s="31">
        <f>IFERROR(INDEX('Channel Performance'!$H$7:$H$15,MATCH(C39,'Channel Performance'!$A$7:$A$15,0)),1)</f>
        <v/>
      </c>
      <c r="F39" s="32">
        <f>IFERROR(INDEX('Channel Performance'!$J$7:$J$15,MATCH(C39,'Channel Performance'!$A$7:$A$15,0)),"No data — pure prior")</f>
        <v/>
      </c>
      <c r="G39" s="32">
        <f>IFERROR(ROUND(MIN(10,MAX(1,D39*E39)),1),"")</f>
        <v/>
      </c>
      <c r="H39" s="30" t="n"/>
      <c r="I39" s="30" t="n"/>
      <c r="J39" s="30" t="n"/>
      <c r="K39" s="33" t="n"/>
      <c r="M39" s="33" t="n"/>
      <c r="O39" s="34" t="n"/>
      <c r="R39" s="34" t="n"/>
    </row>
    <row r="40">
      <c r="D40" s="30" t="n"/>
      <c r="E40" s="31">
        <f>IFERROR(INDEX('Channel Performance'!$H$7:$H$15,MATCH(C40,'Channel Performance'!$A$7:$A$15,0)),1)</f>
        <v/>
      </c>
      <c r="F40" s="32">
        <f>IFERROR(INDEX('Channel Performance'!$J$7:$J$15,MATCH(C40,'Channel Performance'!$A$7:$A$15,0)),"No data — pure prior")</f>
        <v/>
      </c>
      <c r="G40" s="32">
        <f>IFERROR(ROUND(MIN(10,MAX(1,D40*E40)),1),"")</f>
        <v/>
      </c>
      <c r="H40" s="30" t="n"/>
      <c r="I40" s="30" t="n"/>
      <c r="J40" s="30" t="n"/>
      <c r="K40" s="33" t="n"/>
      <c r="M40" s="33" t="n"/>
      <c r="O40" s="34" t="n"/>
      <c r="R40" s="34" t="n"/>
    </row>
    <row r="41">
      <c r="D41" s="30" t="n"/>
      <c r="E41" s="31">
        <f>IFERROR(INDEX('Channel Performance'!$H$7:$H$15,MATCH(C41,'Channel Performance'!$A$7:$A$15,0)),1)</f>
        <v/>
      </c>
      <c r="F41" s="32">
        <f>IFERROR(INDEX('Channel Performance'!$J$7:$J$15,MATCH(C41,'Channel Performance'!$A$7:$A$15,0)),"No data — pure prior")</f>
        <v/>
      </c>
      <c r="G41" s="32">
        <f>IFERROR(ROUND(MIN(10,MAX(1,D41*E41)),1),"")</f>
        <v/>
      </c>
      <c r="H41" s="30" t="n"/>
      <c r="I41" s="30" t="n"/>
      <c r="J41" s="30" t="n"/>
      <c r="K41" s="33" t="n"/>
      <c r="M41" s="33" t="n"/>
      <c r="O41" s="34" t="n"/>
      <c r="R41" s="34" t="n"/>
    </row>
    <row r="42">
      <c r="D42" s="30" t="n"/>
      <c r="E42" s="31">
        <f>IFERROR(INDEX('Channel Performance'!$H$7:$H$15,MATCH(C42,'Channel Performance'!$A$7:$A$15,0)),1)</f>
        <v/>
      </c>
      <c r="F42" s="32">
        <f>IFERROR(INDEX('Channel Performance'!$J$7:$J$15,MATCH(C42,'Channel Performance'!$A$7:$A$15,0)),"No data — pure prior")</f>
        <v/>
      </c>
      <c r="G42" s="32">
        <f>IFERROR(ROUND(MIN(10,MAX(1,D42*E42)),1),"")</f>
        <v/>
      </c>
      <c r="H42" s="30" t="n"/>
      <c r="I42" s="30" t="n"/>
      <c r="J42" s="30" t="n"/>
      <c r="K42" s="33" t="n"/>
      <c r="M42" s="33" t="n"/>
      <c r="O42" s="34" t="n"/>
      <c r="R42" s="34" t="n"/>
    </row>
    <row r="43">
      <c r="D43" s="30" t="n"/>
      <c r="E43" s="31">
        <f>IFERROR(INDEX('Channel Performance'!$H$7:$H$15,MATCH(C43,'Channel Performance'!$A$7:$A$15,0)),1)</f>
        <v/>
      </c>
      <c r="F43" s="32">
        <f>IFERROR(INDEX('Channel Performance'!$J$7:$J$15,MATCH(C43,'Channel Performance'!$A$7:$A$15,0)),"No data — pure prior")</f>
        <v/>
      </c>
      <c r="G43" s="32">
        <f>IFERROR(ROUND(MIN(10,MAX(1,D43*E43)),1),"")</f>
        <v/>
      </c>
      <c r="H43" s="30" t="n"/>
      <c r="I43" s="30" t="n"/>
      <c r="J43" s="30" t="n"/>
      <c r="K43" s="33" t="n"/>
      <c r="M43" s="33" t="n"/>
      <c r="O43" s="34" t="n"/>
      <c r="R43" s="34" t="n"/>
    </row>
    <row r="44">
      <c r="D44" s="30" t="n"/>
      <c r="E44" s="31">
        <f>IFERROR(INDEX('Channel Performance'!$H$7:$H$15,MATCH(C44,'Channel Performance'!$A$7:$A$15,0)),1)</f>
        <v/>
      </c>
      <c r="F44" s="32">
        <f>IFERROR(INDEX('Channel Performance'!$J$7:$J$15,MATCH(C44,'Channel Performance'!$A$7:$A$15,0)),"No data — pure prior")</f>
        <v/>
      </c>
      <c r="G44" s="32">
        <f>IFERROR(ROUND(MIN(10,MAX(1,D44*E44)),1),"")</f>
        <v/>
      </c>
      <c r="H44" s="30" t="n"/>
      <c r="I44" s="30" t="n"/>
      <c r="J44" s="30" t="n"/>
      <c r="K44" s="33" t="n"/>
      <c r="M44" s="33" t="n"/>
      <c r="O44" s="34" t="n"/>
      <c r="R44" s="34" t="n"/>
    </row>
    <row r="45">
      <c r="D45" s="30" t="n"/>
      <c r="E45" s="31">
        <f>IFERROR(INDEX('Channel Performance'!$H$7:$H$15,MATCH(C45,'Channel Performance'!$A$7:$A$15,0)),1)</f>
        <v/>
      </c>
      <c r="F45" s="32">
        <f>IFERROR(INDEX('Channel Performance'!$J$7:$J$15,MATCH(C45,'Channel Performance'!$A$7:$A$15,0)),"No data — pure prior")</f>
        <v/>
      </c>
      <c r="G45" s="32">
        <f>IFERROR(ROUND(MIN(10,MAX(1,D45*E45)),1),"")</f>
        <v/>
      </c>
      <c r="H45" s="30" t="n"/>
      <c r="I45" s="30" t="n"/>
      <c r="J45" s="30" t="n"/>
      <c r="K45" s="33" t="n"/>
      <c r="M45" s="33" t="n"/>
      <c r="O45" s="34" t="n"/>
      <c r="R45" s="34" t="n"/>
    </row>
    <row r="46">
      <c r="D46" s="30" t="n"/>
      <c r="E46" s="31">
        <f>IFERROR(INDEX('Channel Performance'!$H$7:$H$15,MATCH(C46,'Channel Performance'!$A$7:$A$15,0)),1)</f>
        <v/>
      </c>
      <c r="F46" s="32">
        <f>IFERROR(INDEX('Channel Performance'!$J$7:$J$15,MATCH(C46,'Channel Performance'!$A$7:$A$15,0)),"No data — pure prior")</f>
        <v/>
      </c>
      <c r="G46" s="32">
        <f>IFERROR(ROUND(MIN(10,MAX(1,D46*E46)),1),"")</f>
        <v/>
      </c>
      <c r="H46" s="30" t="n"/>
      <c r="I46" s="30" t="n"/>
      <c r="J46" s="30" t="n"/>
      <c r="K46" s="33" t="n"/>
      <c r="M46" s="33" t="n"/>
      <c r="O46" s="34" t="n"/>
      <c r="R46" s="34" t="n"/>
    </row>
    <row r="47">
      <c r="D47" s="30" t="n"/>
      <c r="E47" s="31">
        <f>IFERROR(INDEX('Channel Performance'!$H$7:$H$15,MATCH(C47,'Channel Performance'!$A$7:$A$15,0)),1)</f>
        <v/>
      </c>
      <c r="F47" s="32">
        <f>IFERROR(INDEX('Channel Performance'!$J$7:$J$15,MATCH(C47,'Channel Performance'!$A$7:$A$15,0)),"No data — pure prior")</f>
        <v/>
      </c>
      <c r="G47" s="32">
        <f>IFERROR(ROUND(MIN(10,MAX(1,D47*E47)),1),"")</f>
        <v/>
      </c>
      <c r="H47" s="30" t="n"/>
      <c r="I47" s="30" t="n"/>
      <c r="J47" s="30" t="n"/>
      <c r="K47" s="33" t="n"/>
      <c r="M47" s="33" t="n"/>
      <c r="O47" s="34" t="n"/>
      <c r="R47" s="34" t="n"/>
    </row>
    <row r="48">
      <c r="D48" s="30" t="n"/>
      <c r="E48" s="31">
        <f>IFERROR(INDEX('Channel Performance'!$H$7:$H$15,MATCH(C48,'Channel Performance'!$A$7:$A$15,0)),1)</f>
        <v/>
      </c>
      <c r="F48" s="32">
        <f>IFERROR(INDEX('Channel Performance'!$J$7:$J$15,MATCH(C48,'Channel Performance'!$A$7:$A$15,0)),"No data — pure prior")</f>
        <v/>
      </c>
      <c r="G48" s="32">
        <f>IFERROR(ROUND(MIN(10,MAX(1,D48*E48)),1),"")</f>
        <v/>
      </c>
      <c r="H48" s="30" t="n"/>
      <c r="I48" s="30" t="n"/>
      <c r="J48" s="30" t="n"/>
      <c r="K48" s="33" t="n"/>
      <c r="M48" s="33" t="n"/>
      <c r="O48" s="34" t="n"/>
      <c r="R48" s="34" t="n"/>
    </row>
    <row r="49">
      <c r="D49" s="30" t="n"/>
      <c r="E49" s="31">
        <f>IFERROR(INDEX('Channel Performance'!$H$7:$H$15,MATCH(C49,'Channel Performance'!$A$7:$A$15,0)),1)</f>
        <v/>
      </c>
      <c r="F49" s="32">
        <f>IFERROR(INDEX('Channel Performance'!$J$7:$J$15,MATCH(C49,'Channel Performance'!$A$7:$A$15,0)),"No data — pure prior")</f>
        <v/>
      </c>
      <c r="G49" s="32">
        <f>IFERROR(ROUND(MIN(10,MAX(1,D49*E49)),1),"")</f>
        <v/>
      </c>
      <c r="H49" s="30" t="n"/>
      <c r="I49" s="30" t="n"/>
      <c r="J49" s="30" t="n"/>
      <c r="K49" s="33" t="n"/>
      <c r="M49" s="33" t="n"/>
      <c r="O49" s="34" t="n"/>
      <c r="R49" s="34" t="n"/>
    </row>
    <row r="50">
      <c r="D50" s="30" t="n"/>
      <c r="E50" s="31">
        <f>IFERROR(INDEX('Channel Performance'!$H$7:$H$15,MATCH(C50,'Channel Performance'!$A$7:$A$15,0)),1)</f>
        <v/>
      </c>
      <c r="F50" s="32">
        <f>IFERROR(INDEX('Channel Performance'!$J$7:$J$15,MATCH(C50,'Channel Performance'!$A$7:$A$15,0)),"No data — pure prior")</f>
        <v/>
      </c>
      <c r="G50" s="32">
        <f>IFERROR(ROUND(MIN(10,MAX(1,D50*E50)),1),"")</f>
        <v/>
      </c>
      <c r="H50" s="30" t="n"/>
      <c r="I50" s="30" t="n"/>
      <c r="J50" s="30" t="n"/>
      <c r="K50" s="33" t="n"/>
      <c r="M50" s="33" t="n"/>
      <c r="O50" s="34" t="n"/>
      <c r="R50" s="34" t="n"/>
    </row>
    <row r="51">
      <c r="D51" s="30" t="n"/>
      <c r="E51" s="31">
        <f>IFERROR(INDEX('Channel Performance'!$H$7:$H$15,MATCH(C51,'Channel Performance'!$A$7:$A$15,0)),1)</f>
        <v/>
      </c>
      <c r="F51" s="32">
        <f>IFERROR(INDEX('Channel Performance'!$J$7:$J$15,MATCH(C51,'Channel Performance'!$A$7:$A$15,0)),"No data — pure prior")</f>
        <v/>
      </c>
      <c r="G51" s="32">
        <f>IFERROR(ROUND(MIN(10,MAX(1,D51*E51)),1),"")</f>
        <v/>
      </c>
      <c r="H51" s="30" t="n"/>
      <c r="I51" s="30" t="n"/>
      <c r="J51" s="30" t="n"/>
      <c r="K51" s="33" t="n"/>
      <c r="M51" s="33" t="n"/>
      <c r="O51" s="34" t="n"/>
      <c r="R51" s="34" t="n"/>
    </row>
    <row r="52">
      <c r="D52" s="30" t="n"/>
      <c r="E52" s="31">
        <f>IFERROR(INDEX('Channel Performance'!$H$7:$H$15,MATCH(C52,'Channel Performance'!$A$7:$A$15,0)),1)</f>
        <v/>
      </c>
      <c r="F52" s="32">
        <f>IFERROR(INDEX('Channel Performance'!$J$7:$J$15,MATCH(C52,'Channel Performance'!$A$7:$A$15,0)),"No data — pure prior")</f>
        <v/>
      </c>
      <c r="G52" s="32">
        <f>IFERROR(ROUND(MIN(10,MAX(1,D52*E52)),1),"")</f>
        <v/>
      </c>
      <c r="H52" s="30" t="n"/>
      <c r="I52" s="30" t="n"/>
      <c r="J52" s="30" t="n"/>
      <c r="K52" s="33" t="n"/>
      <c r="M52" s="33" t="n"/>
      <c r="O52" s="34" t="n"/>
      <c r="R52" s="34" t="n"/>
    </row>
    <row r="53">
      <c r="D53" s="30" t="n"/>
      <c r="E53" s="31">
        <f>IFERROR(INDEX('Channel Performance'!$H$7:$H$15,MATCH(C53,'Channel Performance'!$A$7:$A$15,0)),1)</f>
        <v/>
      </c>
      <c r="F53" s="32">
        <f>IFERROR(INDEX('Channel Performance'!$J$7:$J$15,MATCH(C53,'Channel Performance'!$A$7:$A$15,0)),"No data — pure prior")</f>
        <v/>
      </c>
      <c r="G53" s="32">
        <f>IFERROR(ROUND(MIN(10,MAX(1,D53*E53)),1),"")</f>
        <v/>
      </c>
      <c r="H53" s="30" t="n"/>
      <c r="I53" s="30" t="n"/>
      <c r="J53" s="30" t="n"/>
      <c r="K53" s="33" t="n"/>
      <c r="M53" s="33" t="n"/>
      <c r="O53" s="34" t="n"/>
      <c r="R53" s="34" t="n"/>
    </row>
    <row r="54">
      <c r="D54" s="30" t="n"/>
      <c r="E54" s="31">
        <f>IFERROR(INDEX('Channel Performance'!$H$7:$H$15,MATCH(C54,'Channel Performance'!$A$7:$A$15,0)),1)</f>
        <v/>
      </c>
      <c r="F54" s="32">
        <f>IFERROR(INDEX('Channel Performance'!$J$7:$J$15,MATCH(C54,'Channel Performance'!$A$7:$A$15,0)),"No data — pure prior")</f>
        <v/>
      </c>
      <c r="G54" s="32">
        <f>IFERROR(ROUND(MIN(10,MAX(1,D54*E54)),1),"")</f>
        <v/>
      </c>
      <c r="H54" s="30" t="n"/>
      <c r="I54" s="30" t="n"/>
      <c r="J54" s="30" t="n"/>
      <c r="K54" s="33" t="n"/>
      <c r="M54" s="33" t="n"/>
      <c r="O54" s="34" t="n"/>
      <c r="R54" s="34" t="n"/>
    </row>
    <row r="55">
      <c r="D55" s="30" t="n"/>
      <c r="E55" s="31">
        <f>IFERROR(INDEX('Channel Performance'!$H$7:$H$15,MATCH(C55,'Channel Performance'!$A$7:$A$15,0)),1)</f>
        <v/>
      </c>
      <c r="F55" s="32">
        <f>IFERROR(INDEX('Channel Performance'!$J$7:$J$15,MATCH(C55,'Channel Performance'!$A$7:$A$15,0)),"No data — pure prior")</f>
        <v/>
      </c>
      <c r="G55" s="32">
        <f>IFERROR(ROUND(MIN(10,MAX(1,D55*E55)),1),"")</f>
        <v/>
      </c>
      <c r="H55" s="30" t="n"/>
      <c r="I55" s="30" t="n"/>
      <c r="J55" s="30" t="n"/>
      <c r="K55" s="33" t="n"/>
      <c r="M55" s="33" t="n"/>
      <c r="O55" s="34" t="n"/>
      <c r="R55" s="34" t="n"/>
    </row>
    <row r="56">
      <c r="D56" s="30" t="n"/>
      <c r="E56" s="31">
        <f>IFERROR(INDEX('Channel Performance'!$H$7:$H$15,MATCH(C56,'Channel Performance'!$A$7:$A$15,0)),1)</f>
        <v/>
      </c>
      <c r="F56" s="32">
        <f>IFERROR(INDEX('Channel Performance'!$J$7:$J$15,MATCH(C56,'Channel Performance'!$A$7:$A$15,0)),"No data — pure prior")</f>
        <v/>
      </c>
      <c r="G56" s="32">
        <f>IFERROR(ROUND(MIN(10,MAX(1,D56*E56)),1),"")</f>
        <v/>
      </c>
      <c r="H56" s="30" t="n"/>
      <c r="I56" s="30" t="n"/>
      <c r="J56" s="30" t="n"/>
      <c r="K56" s="33" t="n"/>
      <c r="M56" s="33" t="n"/>
      <c r="O56" s="34" t="n"/>
      <c r="R56" s="34" t="n"/>
    </row>
    <row r="57">
      <c r="D57" s="30" t="n"/>
      <c r="E57" s="31">
        <f>IFERROR(INDEX('Channel Performance'!$H$7:$H$15,MATCH(C57,'Channel Performance'!$A$7:$A$15,0)),1)</f>
        <v/>
      </c>
      <c r="F57" s="32">
        <f>IFERROR(INDEX('Channel Performance'!$J$7:$J$15,MATCH(C57,'Channel Performance'!$A$7:$A$15,0)),"No data — pure prior")</f>
        <v/>
      </c>
      <c r="G57" s="32">
        <f>IFERROR(ROUND(MIN(10,MAX(1,D57*E57)),1),"")</f>
        <v/>
      </c>
      <c r="H57" s="30" t="n"/>
      <c r="I57" s="30" t="n"/>
      <c r="J57" s="30" t="n"/>
      <c r="K57" s="33" t="n"/>
      <c r="M57" s="33" t="n"/>
      <c r="O57" s="34" t="n"/>
      <c r="R57" s="34" t="n"/>
    </row>
    <row r="58">
      <c r="D58" s="30" t="n"/>
      <c r="E58" s="31">
        <f>IFERROR(INDEX('Channel Performance'!$H$7:$H$15,MATCH(C58,'Channel Performance'!$A$7:$A$15,0)),1)</f>
        <v/>
      </c>
      <c r="F58" s="32">
        <f>IFERROR(INDEX('Channel Performance'!$J$7:$J$15,MATCH(C58,'Channel Performance'!$A$7:$A$15,0)),"No data — pure prior")</f>
        <v/>
      </c>
      <c r="G58" s="32">
        <f>IFERROR(ROUND(MIN(10,MAX(1,D58*E58)),1),"")</f>
        <v/>
      </c>
      <c r="H58" s="30" t="n"/>
      <c r="I58" s="30" t="n"/>
      <c r="J58" s="30" t="n"/>
      <c r="K58" s="33" t="n"/>
      <c r="M58" s="33" t="n"/>
      <c r="O58" s="34" t="n"/>
      <c r="R58" s="34" t="n"/>
    </row>
    <row r="59">
      <c r="D59" s="30" t="n"/>
      <c r="E59" s="31">
        <f>IFERROR(INDEX('Channel Performance'!$H$7:$H$15,MATCH(C59,'Channel Performance'!$A$7:$A$15,0)),1)</f>
        <v/>
      </c>
      <c r="F59" s="32">
        <f>IFERROR(INDEX('Channel Performance'!$J$7:$J$15,MATCH(C59,'Channel Performance'!$A$7:$A$15,0)),"No data — pure prior")</f>
        <v/>
      </c>
      <c r="G59" s="32">
        <f>IFERROR(ROUND(MIN(10,MAX(1,D59*E59)),1),"")</f>
        <v/>
      </c>
      <c r="H59" s="30" t="n"/>
      <c r="I59" s="30" t="n"/>
      <c r="J59" s="30" t="n"/>
      <c r="K59" s="33" t="n"/>
      <c r="M59" s="33" t="n"/>
      <c r="O59" s="34" t="n"/>
      <c r="R59" s="34" t="n"/>
    </row>
    <row r="60">
      <c r="D60" s="30" t="n"/>
      <c r="E60" s="31">
        <f>IFERROR(INDEX('Channel Performance'!$H$7:$H$15,MATCH(C60,'Channel Performance'!$A$7:$A$15,0)),1)</f>
        <v/>
      </c>
      <c r="F60" s="32">
        <f>IFERROR(INDEX('Channel Performance'!$J$7:$J$15,MATCH(C60,'Channel Performance'!$A$7:$A$15,0)),"No data — pure prior")</f>
        <v/>
      </c>
      <c r="G60" s="32">
        <f>IFERROR(ROUND(MIN(10,MAX(1,D60*E60)),1),"")</f>
        <v/>
      </c>
      <c r="H60" s="30" t="n"/>
      <c r="I60" s="30" t="n"/>
      <c r="J60" s="30" t="n"/>
      <c r="K60" s="33" t="n"/>
      <c r="M60" s="33" t="n"/>
      <c r="O60" s="34" t="n"/>
      <c r="R60" s="34" t="n"/>
    </row>
    <row r="61">
      <c r="D61" s="30" t="n"/>
      <c r="E61" s="31">
        <f>IFERROR(INDEX('Channel Performance'!$H$7:$H$15,MATCH(C61,'Channel Performance'!$A$7:$A$15,0)),1)</f>
        <v/>
      </c>
      <c r="F61" s="32">
        <f>IFERROR(INDEX('Channel Performance'!$J$7:$J$15,MATCH(C61,'Channel Performance'!$A$7:$A$15,0)),"No data — pure prior")</f>
        <v/>
      </c>
      <c r="G61" s="32">
        <f>IFERROR(ROUND(MIN(10,MAX(1,D61*E61)),1),"")</f>
        <v/>
      </c>
      <c r="H61" s="30" t="n"/>
      <c r="I61" s="30" t="n"/>
      <c r="J61" s="30" t="n"/>
      <c r="K61" s="33" t="n"/>
      <c r="M61" s="33" t="n"/>
      <c r="O61" s="34" t="n"/>
      <c r="R61" s="34" t="n"/>
    </row>
    <row r="62">
      <c r="D62" s="30" t="n"/>
      <c r="E62" s="31">
        <f>IFERROR(INDEX('Channel Performance'!$H$7:$H$15,MATCH(C62,'Channel Performance'!$A$7:$A$15,0)),1)</f>
        <v/>
      </c>
      <c r="F62" s="32">
        <f>IFERROR(INDEX('Channel Performance'!$J$7:$J$15,MATCH(C62,'Channel Performance'!$A$7:$A$15,0)),"No data — pure prior")</f>
        <v/>
      </c>
      <c r="G62" s="32">
        <f>IFERROR(ROUND(MIN(10,MAX(1,D62*E62)),1),"")</f>
        <v/>
      </c>
      <c r="H62" s="30" t="n"/>
      <c r="I62" s="30" t="n"/>
      <c r="J62" s="30" t="n"/>
      <c r="K62" s="33" t="n"/>
      <c r="M62" s="33" t="n"/>
      <c r="O62" s="34" t="n"/>
      <c r="R62" s="34" t="n"/>
    </row>
    <row r="63">
      <c r="D63" s="30" t="n"/>
      <c r="E63" s="31">
        <f>IFERROR(INDEX('Channel Performance'!$H$7:$H$15,MATCH(C63,'Channel Performance'!$A$7:$A$15,0)),1)</f>
        <v/>
      </c>
      <c r="F63" s="32">
        <f>IFERROR(INDEX('Channel Performance'!$J$7:$J$15,MATCH(C63,'Channel Performance'!$A$7:$A$15,0)),"No data — pure prior")</f>
        <v/>
      </c>
      <c r="G63" s="32">
        <f>IFERROR(ROUND(MIN(10,MAX(1,D63*E63)),1),"")</f>
        <v/>
      </c>
      <c r="H63" s="30" t="n"/>
      <c r="I63" s="30" t="n"/>
      <c r="J63" s="30" t="n"/>
      <c r="K63" s="33" t="n"/>
      <c r="M63" s="33" t="n"/>
      <c r="O63" s="34" t="n"/>
      <c r="R63" s="34" t="n"/>
    </row>
    <row r="64">
      <c r="D64" s="30" t="n"/>
      <c r="E64" s="31">
        <f>IFERROR(INDEX('Channel Performance'!$H$7:$H$15,MATCH(C64,'Channel Performance'!$A$7:$A$15,0)),1)</f>
        <v/>
      </c>
      <c r="F64" s="32">
        <f>IFERROR(INDEX('Channel Performance'!$J$7:$J$15,MATCH(C64,'Channel Performance'!$A$7:$A$15,0)),"No data — pure prior")</f>
        <v/>
      </c>
      <c r="G64" s="32">
        <f>IFERROR(ROUND(MIN(10,MAX(1,D64*E64)),1),"")</f>
        <v/>
      </c>
      <c r="H64" s="30" t="n"/>
      <c r="I64" s="30" t="n"/>
      <c r="J64" s="30" t="n"/>
      <c r="K64" s="33" t="n"/>
      <c r="M64" s="33" t="n"/>
      <c r="O64" s="34" t="n"/>
      <c r="R64" s="34" t="n"/>
    </row>
    <row r="65">
      <c r="D65" s="30" t="n"/>
      <c r="E65" s="31">
        <f>IFERROR(INDEX('Channel Performance'!$H$7:$H$15,MATCH(C65,'Channel Performance'!$A$7:$A$15,0)),1)</f>
        <v/>
      </c>
      <c r="F65" s="32">
        <f>IFERROR(INDEX('Channel Performance'!$J$7:$J$15,MATCH(C65,'Channel Performance'!$A$7:$A$15,0)),"No data — pure prior")</f>
        <v/>
      </c>
      <c r="G65" s="32">
        <f>IFERROR(ROUND(MIN(10,MAX(1,D65*E65)),1),"")</f>
        <v/>
      </c>
      <c r="H65" s="30" t="n"/>
      <c r="I65" s="30" t="n"/>
      <c r="J65" s="30" t="n"/>
      <c r="K65" s="33" t="n"/>
      <c r="M65" s="33" t="n"/>
      <c r="O65" s="34" t="n"/>
      <c r="R65" s="34" t="n"/>
    </row>
    <row r="66">
      <c r="D66" s="30" t="n"/>
      <c r="E66" s="31">
        <f>IFERROR(INDEX('Channel Performance'!$H$7:$H$15,MATCH(C66,'Channel Performance'!$A$7:$A$15,0)),1)</f>
        <v/>
      </c>
      <c r="F66" s="32">
        <f>IFERROR(INDEX('Channel Performance'!$J$7:$J$15,MATCH(C66,'Channel Performance'!$A$7:$A$15,0)),"No data — pure prior")</f>
        <v/>
      </c>
      <c r="G66" s="32">
        <f>IFERROR(ROUND(MIN(10,MAX(1,D66*E66)),1),"")</f>
        <v/>
      </c>
      <c r="H66" s="30" t="n"/>
      <c r="I66" s="30" t="n"/>
      <c r="J66" s="30" t="n"/>
      <c r="K66" s="33" t="n"/>
      <c r="M66" s="33" t="n"/>
      <c r="O66" s="34" t="n"/>
      <c r="R66" s="34" t="n"/>
    </row>
    <row r="67">
      <c r="D67" s="30" t="n"/>
      <c r="E67" s="31">
        <f>IFERROR(INDEX('Channel Performance'!$H$7:$H$15,MATCH(C67,'Channel Performance'!$A$7:$A$15,0)),1)</f>
        <v/>
      </c>
      <c r="F67" s="32">
        <f>IFERROR(INDEX('Channel Performance'!$J$7:$J$15,MATCH(C67,'Channel Performance'!$A$7:$A$15,0)),"No data — pure prior")</f>
        <v/>
      </c>
      <c r="G67" s="32">
        <f>IFERROR(ROUND(MIN(10,MAX(1,D67*E67)),1),"")</f>
        <v/>
      </c>
      <c r="H67" s="30" t="n"/>
      <c r="I67" s="30" t="n"/>
      <c r="J67" s="30" t="n"/>
      <c r="K67" s="33" t="n"/>
      <c r="M67" s="33" t="n"/>
      <c r="O67" s="34" t="n"/>
      <c r="R67" s="34" t="n"/>
    </row>
    <row r="68">
      <c r="D68" s="30" t="n"/>
      <c r="E68" s="31">
        <f>IFERROR(INDEX('Channel Performance'!$H$7:$H$15,MATCH(C68,'Channel Performance'!$A$7:$A$15,0)),1)</f>
        <v/>
      </c>
      <c r="F68" s="32">
        <f>IFERROR(INDEX('Channel Performance'!$J$7:$J$15,MATCH(C68,'Channel Performance'!$A$7:$A$15,0)),"No data — pure prior")</f>
        <v/>
      </c>
      <c r="G68" s="32">
        <f>IFERROR(ROUND(MIN(10,MAX(1,D68*E68)),1),"")</f>
        <v/>
      </c>
      <c r="H68" s="30" t="n"/>
      <c r="I68" s="30" t="n"/>
      <c r="J68" s="30" t="n"/>
      <c r="K68" s="33" t="n"/>
      <c r="M68" s="33" t="n"/>
      <c r="O68" s="34" t="n"/>
      <c r="R68" s="34" t="n"/>
    </row>
    <row r="69">
      <c r="D69" s="30" t="n"/>
      <c r="E69" s="31">
        <f>IFERROR(INDEX('Channel Performance'!$H$7:$H$15,MATCH(C69,'Channel Performance'!$A$7:$A$15,0)),1)</f>
        <v/>
      </c>
      <c r="F69" s="32">
        <f>IFERROR(INDEX('Channel Performance'!$J$7:$J$15,MATCH(C69,'Channel Performance'!$A$7:$A$15,0)),"No data — pure prior")</f>
        <v/>
      </c>
      <c r="G69" s="32">
        <f>IFERROR(ROUND(MIN(10,MAX(1,D69*E69)),1),"")</f>
        <v/>
      </c>
      <c r="H69" s="30" t="n"/>
      <c r="I69" s="30" t="n"/>
      <c r="J69" s="30" t="n"/>
      <c r="K69" s="33" t="n"/>
      <c r="M69" s="33" t="n"/>
      <c r="O69" s="34" t="n"/>
      <c r="R69" s="34" t="n"/>
    </row>
    <row r="70">
      <c r="D70" s="30" t="n"/>
      <c r="E70" s="31">
        <f>IFERROR(INDEX('Channel Performance'!$H$7:$H$15,MATCH(C70,'Channel Performance'!$A$7:$A$15,0)),1)</f>
        <v/>
      </c>
      <c r="F70" s="32">
        <f>IFERROR(INDEX('Channel Performance'!$J$7:$J$15,MATCH(C70,'Channel Performance'!$A$7:$A$15,0)),"No data — pure prior")</f>
        <v/>
      </c>
      <c r="G70" s="32">
        <f>IFERROR(ROUND(MIN(10,MAX(1,D70*E70)),1),"")</f>
        <v/>
      </c>
      <c r="H70" s="30" t="n"/>
      <c r="I70" s="30" t="n"/>
      <c r="J70" s="30" t="n"/>
      <c r="K70" s="33" t="n"/>
      <c r="M70" s="33" t="n"/>
      <c r="O70" s="34" t="n"/>
      <c r="R70" s="34" t="n"/>
    </row>
    <row r="71">
      <c r="D71" s="30" t="n"/>
      <c r="E71" s="31">
        <f>IFERROR(INDEX('Channel Performance'!$H$7:$H$15,MATCH(C71,'Channel Performance'!$A$7:$A$15,0)),1)</f>
        <v/>
      </c>
      <c r="F71" s="32">
        <f>IFERROR(INDEX('Channel Performance'!$J$7:$J$15,MATCH(C71,'Channel Performance'!$A$7:$A$15,0)),"No data — pure prior")</f>
        <v/>
      </c>
      <c r="G71" s="32">
        <f>IFERROR(ROUND(MIN(10,MAX(1,D71*E71)),1),"")</f>
        <v/>
      </c>
      <c r="H71" s="30" t="n"/>
      <c r="I71" s="30" t="n"/>
      <c r="J71" s="30" t="n"/>
      <c r="K71" s="33" t="n"/>
      <c r="M71" s="33" t="n"/>
      <c r="O71" s="34" t="n"/>
      <c r="R71" s="34" t="n"/>
    </row>
    <row r="72">
      <c r="D72" s="30" t="n"/>
      <c r="E72" s="31">
        <f>IFERROR(INDEX('Channel Performance'!$H$7:$H$15,MATCH(C72,'Channel Performance'!$A$7:$A$15,0)),1)</f>
        <v/>
      </c>
      <c r="F72" s="32">
        <f>IFERROR(INDEX('Channel Performance'!$J$7:$J$15,MATCH(C72,'Channel Performance'!$A$7:$A$15,0)),"No data — pure prior")</f>
        <v/>
      </c>
      <c r="G72" s="32">
        <f>IFERROR(ROUND(MIN(10,MAX(1,D72*E72)),1),"")</f>
        <v/>
      </c>
      <c r="H72" s="30" t="n"/>
      <c r="I72" s="30" t="n"/>
      <c r="J72" s="30" t="n"/>
      <c r="K72" s="33" t="n"/>
      <c r="M72" s="33" t="n"/>
      <c r="O72" s="34" t="n"/>
      <c r="R72" s="34" t="n"/>
    </row>
    <row r="73">
      <c r="D73" s="30" t="n"/>
      <c r="E73" s="31">
        <f>IFERROR(INDEX('Channel Performance'!$H$7:$H$15,MATCH(C73,'Channel Performance'!$A$7:$A$15,0)),1)</f>
        <v/>
      </c>
      <c r="F73" s="32">
        <f>IFERROR(INDEX('Channel Performance'!$J$7:$J$15,MATCH(C73,'Channel Performance'!$A$7:$A$15,0)),"No data — pure prior")</f>
        <v/>
      </c>
      <c r="G73" s="32">
        <f>IFERROR(ROUND(MIN(10,MAX(1,D73*E73)),1),"")</f>
        <v/>
      </c>
      <c r="H73" s="30" t="n"/>
      <c r="I73" s="30" t="n"/>
      <c r="J73" s="30" t="n"/>
      <c r="K73" s="33" t="n"/>
      <c r="M73" s="33" t="n"/>
      <c r="O73" s="34" t="n"/>
      <c r="R73" s="34" t="n"/>
    </row>
    <row r="74">
      <c r="D74" s="30" t="n"/>
      <c r="E74" s="31">
        <f>IFERROR(INDEX('Channel Performance'!$H$7:$H$15,MATCH(C74,'Channel Performance'!$A$7:$A$15,0)),1)</f>
        <v/>
      </c>
      <c r="F74" s="32">
        <f>IFERROR(INDEX('Channel Performance'!$J$7:$J$15,MATCH(C74,'Channel Performance'!$A$7:$A$15,0)),"No data — pure prior")</f>
        <v/>
      </c>
      <c r="G74" s="32">
        <f>IFERROR(ROUND(MIN(10,MAX(1,D74*E74)),1),"")</f>
        <v/>
      </c>
      <c r="H74" s="30" t="n"/>
      <c r="I74" s="30" t="n"/>
      <c r="J74" s="30" t="n"/>
      <c r="K74" s="33" t="n"/>
      <c r="M74" s="33" t="n"/>
      <c r="O74" s="34" t="n"/>
      <c r="R74" s="34" t="n"/>
    </row>
    <row r="75">
      <c r="D75" s="30" t="n"/>
      <c r="E75" s="31">
        <f>IFERROR(INDEX('Channel Performance'!$H$7:$H$15,MATCH(C75,'Channel Performance'!$A$7:$A$15,0)),1)</f>
        <v/>
      </c>
      <c r="F75" s="32">
        <f>IFERROR(INDEX('Channel Performance'!$J$7:$J$15,MATCH(C75,'Channel Performance'!$A$7:$A$15,0)),"No data — pure prior")</f>
        <v/>
      </c>
      <c r="G75" s="32">
        <f>IFERROR(ROUND(MIN(10,MAX(1,D75*E75)),1),"")</f>
        <v/>
      </c>
      <c r="H75" s="30" t="n"/>
      <c r="I75" s="30" t="n"/>
      <c r="J75" s="30" t="n"/>
      <c r="K75" s="33" t="n"/>
      <c r="M75" s="33" t="n"/>
      <c r="O75" s="34" t="n"/>
      <c r="R75" s="34" t="n"/>
    </row>
    <row r="76">
      <c r="D76" s="30" t="n"/>
      <c r="E76" s="31">
        <f>IFERROR(INDEX('Channel Performance'!$H$7:$H$15,MATCH(C76,'Channel Performance'!$A$7:$A$15,0)),1)</f>
        <v/>
      </c>
      <c r="F76" s="32">
        <f>IFERROR(INDEX('Channel Performance'!$J$7:$J$15,MATCH(C76,'Channel Performance'!$A$7:$A$15,0)),"No data — pure prior")</f>
        <v/>
      </c>
      <c r="G76" s="32">
        <f>IFERROR(ROUND(MIN(10,MAX(1,D76*E76)),1),"")</f>
        <v/>
      </c>
      <c r="H76" s="30" t="n"/>
      <c r="I76" s="30" t="n"/>
      <c r="J76" s="30" t="n"/>
      <c r="K76" s="33" t="n"/>
      <c r="M76" s="33" t="n"/>
      <c r="O76" s="34" t="n"/>
      <c r="R76" s="34" t="n"/>
    </row>
    <row r="77">
      <c r="D77" s="30" t="n"/>
      <c r="E77" s="31">
        <f>IFERROR(INDEX('Channel Performance'!$H$7:$H$15,MATCH(C77,'Channel Performance'!$A$7:$A$15,0)),1)</f>
        <v/>
      </c>
      <c r="F77" s="32">
        <f>IFERROR(INDEX('Channel Performance'!$J$7:$J$15,MATCH(C77,'Channel Performance'!$A$7:$A$15,0)),"No data — pure prior")</f>
        <v/>
      </c>
      <c r="G77" s="32">
        <f>IFERROR(ROUND(MIN(10,MAX(1,D77*E77)),1),"")</f>
        <v/>
      </c>
      <c r="H77" s="30" t="n"/>
      <c r="I77" s="30" t="n"/>
      <c r="J77" s="30" t="n"/>
      <c r="K77" s="33" t="n"/>
      <c r="M77" s="33" t="n"/>
      <c r="O77" s="34" t="n"/>
      <c r="R77" s="34" t="n"/>
    </row>
    <row r="78">
      <c r="D78" s="30" t="n"/>
      <c r="E78" s="31">
        <f>IFERROR(INDEX('Channel Performance'!$H$7:$H$15,MATCH(C78,'Channel Performance'!$A$7:$A$15,0)),1)</f>
        <v/>
      </c>
      <c r="F78" s="32">
        <f>IFERROR(INDEX('Channel Performance'!$J$7:$J$15,MATCH(C78,'Channel Performance'!$A$7:$A$15,0)),"No data — pure prior")</f>
        <v/>
      </c>
      <c r="G78" s="32">
        <f>IFERROR(ROUND(MIN(10,MAX(1,D78*E78)),1),"")</f>
        <v/>
      </c>
      <c r="H78" s="30" t="n"/>
      <c r="I78" s="30" t="n"/>
      <c r="J78" s="30" t="n"/>
      <c r="K78" s="33" t="n"/>
      <c r="M78" s="33" t="n"/>
      <c r="O78" s="34" t="n"/>
      <c r="R78" s="34" t="n"/>
    </row>
    <row r="79">
      <c r="D79" s="30" t="n"/>
      <c r="E79" s="31">
        <f>IFERROR(INDEX('Channel Performance'!$H$7:$H$15,MATCH(C79,'Channel Performance'!$A$7:$A$15,0)),1)</f>
        <v/>
      </c>
      <c r="F79" s="32">
        <f>IFERROR(INDEX('Channel Performance'!$J$7:$J$15,MATCH(C79,'Channel Performance'!$A$7:$A$15,0)),"No data — pure prior")</f>
        <v/>
      </c>
      <c r="G79" s="32">
        <f>IFERROR(ROUND(MIN(10,MAX(1,D79*E79)),1),"")</f>
        <v/>
      </c>
      <c r="H79" s="30" t="n"/>
      <c r="I79" s="30" t="n"/>
      <c r="J79" s="30" t="n"/>
      <c r="K79" s="33" t="n"/>
      <c r="M79" s="33" t="n"/>
      <c r="O79" s="34" t="n"/>
      <c r="R79" s="34" t="n"/>
    </row>
    <row r="80">
      <c r="D80" s="30" t="n"/>
      <c r="E80" s="31">
        <f>IFERROR(INDEX('Channel Performance'!$H$7:$H$15,MATCH(C80,'Channel Performance'!$A$7:$A$15,0)),1)</f>
        <v/>
      </c>
      <c r="F80" s="32">
        <f>IFERROR(INDEX('Channel Performance'!$J$7:$J$15,MATCH(C80,'Channel Performance'!$A$7:$A$15,0)),"No data — pure prior")</f>
        <v/>
      </c>
      <c r="G80" s="32">
        <f>IFERROR(ROUND(MIN(10,MAX(1,D80*E80)),1),"")</f>
        <v/>
      </c>
      <c r="H80" s="30" t="n"/>
      <c r="I80" s="30" t="n"/>
      <c r="J80" s="30" t="n"/>
      <c r="K80" s="33" t="n"/>
      <c r="M80" s="33" t="n"/>
      <c r="O80" s="34" t="n"/>
      <c r="R80" s="34" t="n"/>
    </row>
    <row r="81">
      <c r="D81" s="30" t="n"/>
      <c r="E81" s="31">
        <f>IFERROR(INDEX('Channel Performance'!$H$7:$H$15,MATCH(C81,'Channel Performance'!$A$7:$A$15,0)),1)</f>
        <v/>
      </c>
      <c r="F81" s="32">
        <f>IFERROR(INDEX('Channel Performance'!$J$7:$J$15,MATCH(C81,'Channel Performance'!$A$7:$A$15,0)),"No data — pure prior")</f>
        <v/>
      </c>
      <c r="G81" s="32">
        <f>IFERROR(ROUND(MIN(10,MAX(1,D81*E81)),1),"")</f>
        <v/>
      </c>
      <c r="H81" s="30" t="n"/>
      <c r="I81" s="30" t="n"/>
      <c r="J81" s="30" t="n"/>
      <c r="K81" s="33" t="n"/>
      <c r="M81" s="33" t="n"/>
      <c r="O81" s="34" t="n"/>
      <c r="R81" s="34" t="n"/>
    </row>
    <row r="82">
      <c r="D82" s="30" t="n"/>
      <c r="E82" s="31">
        <f>IFERROR(INDEX('Channel Performance'!$H$7:$H$15,MATCH(C82,'Channel Performance'!$A$7:$A$15,0)),1)</f>
        <v/>
      </c>
      <c r="F82" s="32">
        <f>IFERROR(INDEX('Channel Performance'!$J$7:$J$15,MATCH(C82,'Channel Performance'!$A$7:$A$15,0)),"No data — pure prior")</f>
        <v/>
      </c>
      <c r="G82" s="32">
        <f>IFERROR(ROUND(MIN(10,MAX(1,D82*E82)),1),"")</f>
        <v/>
      </c>
      <c r="H82" s="30" t="n"/>
      <c r="I82" s="30" t="n"/>
      <c r="J82" s="30" t="n"/>
      <c r="K82" s="33" t="n"/>
      <c r="M82" s="33" t="n"/>
      <c r="O82" s="34" t="n"/>
      <c r="R82" s="34" t="n"/>
    </row>
    <row r="83">
      <c r="D83" s="30" t="n"/>
      <c r="E83" s="31">
        <f>IFERROR(INDEX('Channel Performance'!$H$7:$H$15,MATCH(C83,'Channel Performance'!$A$7:$A$15,0)),1)</f>
        <v/>
      </c>
      <c r="F83" s="32">
        <f>IFERROR(INDEX('Channel Performance'!$J$7:$J$15,MATCH(C83,'Channel Performance'!$A$7:$A$15,0)),"No data — pure prior")</f>
        <v/>
      </c>
      <c r="G83" s="32">
        <f>IFERROR(ROUND(MIN(10,MAX(1,D83*E83)),1),"")</f>
        <v/>
      </c>
      <c r="H83" s="30" t="n"/>
      <c r="I83" s="30" t="n"/>
      <c r="J83" s="30" t="n"/>
      <c r="K83" s="33" t="n"/>
      <c r="M83" s="33" t="n"/>
      <c r="O83" s="34" t="n"/>
      <c r="R83" s="34" t="n"/>
    </row>
    <row r="84">
      <c r="D84" s="30" t="n"/>
      <c r="E84" s="31">
        <f>IFERROR(INDEX('Channel Performance'!$H$7:$H$15,MATCH(C84,'Channel Performance'!$A$7:$A$15,0)),1)</f>
        <v/>
      </c>
      <c r="F84" s="32">
        <f>IFERROR(INDEX('Channel Performance'!$J$7:$J$15,MATCH(C84,'Channel Performance'!$A$7:$A$15,0)),"No data — pure prior")</f>
        <v/>
      </c>
      <c r="G84" s="32">
        <f>IFERROR(ROUND(MIN(10,MAX(1,D84*E84)),1),"")</f>
        <v/>
      </c>
      <c r="H84" s="30" t="n"/>
      <c r="I84" s="30" t="n"/>
      <c r="J84" s="30" t="n"/>
      <c r="K84" s="33" t="n"/>
      <c r="M84" s="33" t="n"/>
      <c r="O84" s="34" t="n"/>
      <c r="R84" s="34" t="n"/>
    </row>
    <row r="85">
      <c r="D85" s="30" t="n"/>
      <c r="E85" s="31">
        <f>IFERROR(INDEX('Channel Performance'!$H$7:$H$15,MATCH(C85,'Channel Performance'!$A$7:$A$15,0)),1)</f>
        <v/>
      </c>
      <c r="F85" s="32">
        <f>IFERROR(INDEX('Channel Performance'!$J$7:$J$15,MATCH(C85,'Channel Performance'!$A$7:$A$15,0)),"No data — pure prior")</f>
        <v/>
      </c>
      <c r="G85" s="32">
        <f>IFERROR(ROUND(MIN(10,MAX(1,D85*E85)),1),"")</f>
        <v/>
      </c>
      <c r="H85" s="30" t="n"/>
      <c r="I85" s="30" t="n"/>
      <c r="J85" s="30" t="n"/>
      <c r="K85" s="33" t="n"/>
      <c r="M85" s="33" t="n"/>
      <c r="O85" s="34" t="n"/>
      <c r="R85" s="34" t="n"/>
    </row>
    <row r="86">
      <c r="D86" s="30" t="n"/>
      <c r="E86" s="31">
        <f>IFERROR(INDEX('Channel Performance'!$H$7:$H$15,MATCH(C86,'Channel Performance'!$A$7:$A$15,0)),1)</f>
        <v/>
      </c>
      <c r="F86" s="32">
        <f>IFERROR(INDEX('Channel Performance'!$J$7:$J$15,MATCH(C86,'Channel Performance'!$A$7:$A$15,0)),"No data — pure prior")</f>
        <v/>
      </c>
      <c r="G86" s="32">
        <f>IFERROR(ROUND(MIN(10,MAX(1,D86*E86)),1),"")</f>
        <v/>
      </c>
      <c r="H86" s="30" t="n"/>
      <c r="I86" s="30" t="n"/>
      <c r="J86" s="30" t="n"/>
      <c r="K86" s="33" t="n"/>
      <c r="M86" s="33" t="n"/>
      <c r="O86" s="34" t="n"/>
      <c r="R86" s="34" t="n"/>
    </row>
    <row r="87">
      <c r="D87" s="30" t="n"/>
      <c r="E87" s="31">
        <f>IFERROR(INDEX('Channel Performance'!$H$7:$H$15,MATCH(C87,'Channel Performance'!$A$7:$A$15,0)),1)</f>
        <v/>
      </c>
      <c r="F87" s="32">
        <f>IFERROR(INDEX('Channel Performance'!$J$7:$J$15,MATCH(C87,'Channel Performance'!$A$7:$A$15,0)),"No data — pure prior")</f>
        <v/>
      </c>
      <c r="G87" s="32">
        <f>IFERROR(ROUND(MIN(10,MAX(1,D87*E87)),1),"")</f>
        <v/>
      </c>
      <c r="H87" s="30" t="n"/>
      <c r="I87" s="30" t="n"/>
      <c r="J87" s="30" t="n"/>
      <c r="K87" s="33" t="n"/>
      <c r="M87" s="33" t="n"/>
      <c r="O87" s="34" t="n"/>
      <c r="R87" s="34" t="n"/>
    </row>
    <row r="88">
      <c r="D88" s="30" t="n"/>
      <c r="E88" s="31">
        <f>IFERROR(INDEX('Channel Performance'!$H$7:$H$15,MATCH(C88,'Channel Performance'!$A$7:$A$15,0)),1)</f>
        <v/>
      </c>
      <c r="F88" s="32">
        <f>IFERROR(INDEX('Channel Performance'!$J$7:$J$15,MATCH(C88,'Channel Performance'!$A$7:$A$15,0)),"No data — pure prior")</f>
        <v/>
      </c>
      <c r="G88" s="32">
        <f>IFERROR(ROUND(MIN(10,MAX(1,D88*E88)),1),"")</f>
        <v/>
      </c>
      <c r="H88" s="30" t="n"/>
      <c r="I88" s="30" t="n"/>
      <c r="J88" s="30" t="n"/>
      <c r="K88" s="33" t="n"/>
      <c r="M88" s="33" t="n"/>
      <c r="O88" s="34" t="n"/>
      <c r="R88" s="34" t="n"/>
    </row>
    <row r="89">
      <c r="D89" s="30" t="n"/>
      <c r="E89" s="31">
        <f>IFERROR(INDEX('Channel Performance'!$H$7:$H$15,MATCH(C89,'Channel Performance'!$A$7:$A$15,0)),1)</f>
        <v/>
      </c>
      <c r="F89" s="32">
        <f>IFERROR(INDEX('Channel Performance'!$J$7:$J$15,MATCH(C89,'Channel Performance'!$A$7:$A$15,0)),"No data — pure prior")</f>
        <v/>
      </c>
      <c r="G89" s="32">
        <f>IFERROR(ROUND(MIN(10,MAX(1,D89*E89)),1),"")</f>
        <v/>
      </c>
      <c r="H89" s="30" t="n"/>
      <c r="I89" s="30" t="n"/>
      <c r="J89" s="30" t="n"/>
      <c r="K89" s="33" t="n"/>
      <c r="M89" s="33" t="n"/>
      <c r="O89" s="34" t="n"/>
      <c r="R89" s="34" t="n"/>
    </row>
    <row r="90">
      <c r="D90" s="30" t="n"/>
      <c r="E90" s="31">
        <f>IFERROR(INDEX('Channel Performance'!$H$7:$H$15,MATCH(C90,'Channel Performance'!$A$7:$A$15,0)),1)</f>
        <v/>
      </c>
      <c r="F90" s="32">
        <f>IFERROR(INDEX('Channel Performance'!$J$7:$J$15,MATCH(C90,'Channel Performance'!$A$7:$A$15,0)),"No data — pure prior")</f>
        <v/>
      </c>
      <c r="G90" s="32">
        <f>IFERROR(ROUND(MIN(10,MAX(1,D90*E90)),1),"")</f>
        <v/>
      </c>
      <c r="H90" s="30" t="n"/>
      <c r="I90" s="30" t="n"/>
      <c r="J90" s="30" t="n"/>
      <c r="K90" s="33" t="n"/>
      <c r="M90" s="33" t="n"/>
      <c r="O90" s="34" t="n"/>
      <c r="R90" s="34" t="n"/>
    </row>
    <row r="91">
      <c r="D91" s="30" t="n"/>
      <c r="E91" s="31">
        <f>IFERROR(INDEX('Channel Performance'!$H$7:$H$15,MATCH(C91,'Channel Performance'!$A$7:$A$15,0)),1)</f>
        <v/>
      </c>
      <c r="F91" s="32">
        <f>IFERROR(INDEX('Channel Performance'!$J$7:$J$15,MATCH(C91,'Channel Performance'!$A$7:$A$15,0)),"No data — pure prior")</f>
        <v/>
      </c>
      <c r="G91" s="32">
        <f>IFERROR(ROUND(MIN(10,MAX(1,D91*E91)),1),"")</f>
        <v/>
      </c>
      <c r="H91" s="30" t="n"/>
      <c r="I91" s="30" t="n"/>
      <c r="J91" s="30" t="n"/>
      <c r="K91" s="33" t="n"/>
      <c r="M91" s="33" t="n"/>
      <c r="O91" s="34" t="n"/>
      <c r="R91" s="34" t="n"/>
    </row>
    <row r="92">
      <c r="D92" s="30" t="n"/>
      <c r="E92" s="31">
        <f>IFERROR(INDEX('Channel Performance'!$H$7:$H$15,MATCH(C92,'Channel Performance'!$A$7:$A$15,0)),1)</f>
        <v/>
      </c>
      <c r="F92" s="32">
        <f>IFERROR(INDEX('Channel Performance'!$J$7:$J$15,MATCH(C92,'Channel Performance'!$A$7:$A$15,0)),"No data — pure prior")</f>
        <v/>
      </c>
      <c r="G92" s="32">
        <f>IFERROR(ROUND(MIN(10,MAX(1,D92*E92)),1),"")</f>
        <v/>
      </c>
      <c r="H92" s="30" t="n"/>
      <c r="I92" s="30" t="n"/>
      <c r="J92" s="30" t="n"/>
      <c r="K92" s="33" t="n"/>
      <c r="M92" s="33" t="n"/>
      <c r="O92" s="34" t="n"/>
      <c r="R92" s="34" t="n"/>
    </row>
    <row r="93">
      <c r="D93" s="30" t="n"/>
      <c r="E93" s="31">
        <f>IFERROR(INDEX('Channel Performance'!$H$7:$H$15,MATCH(C93,'Channel Performance'!$A$7:$A$15,0)),1)</f>
        <v/>
      </c>
      <c r="F93" s="32">
        <f>IFERROR(INDEX('Channel Performance'!$J$7:$J$15,MATCH(C93,'Channel Performance'!$A$7:$A$15,0)),"No data — pure prior")</f>
        <v/>
      </c>
      <c r="G93" s="32">
        <f>IFERROR(ROUND(MIN(10,MAX(1,D93*E93)),1),"")</f>
        <v/>
      </c>
      <c r="H93" s="30" t="n"/>
      <c r="I93" s="30" t="n"/>
      <c r="J93" s="30" t="n"/>
      <c r="K93" s="33" t="n"/>
      <c r="M93" s="33" t="n"/>
      <c r="O93" s="34" t="n"/>
      <c r="R93" s="34" t="n"/>
    </row>
    <row r="94">
      <c r="D94" s="30" t="n"/>
      <c r="E94" s="31">
        <f>IFERROR(INDEX('Channel Performance'!$H$7:$H$15,MATCH(C94,'Channel Performance'!$A$7:$A$15,0)),1)</f>
        <v/>
      </c>
      <c r="F94" s="32">
        <f>IFERROR(INDEX('Channel Performance'!$J$7:$J$15,MATCH(C94,'Channel Performance'!$A$7:$A$15,0)),"No data — pure prior")</f>
        <v/>
      </c>
      <c r="G94" s="32">
        <f>IFERROR(ROUND(MIN(10,MAX(1,D94*E94)),1),"")</f>
        <v/>
      </c>
      <c r="H94" s="30" t="n"/>
      <c r="I94" s="30" t="n"/>
      <c r="J94" s="30" t="n"/>
      <c r="K94" s="33" t="n"/>
      <c r="M94" s="33" t="n"/>
      <c r="O94" s="34" t="n"/>
      <c r="R94" s="34" t="n"/>
    </row>
    <row r="95">
      <c r="D95" s="30" t="n"/>
      <c r="E95" s="31">
        <f>IFERROR(INDEX('Channel Performance'!$H$7:$H$15,MATCH(C95,'Channel Performance'!$A$7:$A$15,0)),1)</f>
        <v/>
      </c>
      <c r="F95" s="32">
        <f>IFERROR(INDEX('Channel Performance'!$J$7:$J$15,MATCH(C95,'Channel Performance'!$A$7:$A$15,0)),"No data — pure prior")</f>
        <v/>
      </c>
      <c r="G95" s="32">
        <f>IFERROR(ROUND(MIN(10,MAX(1,D95*E95)),1),"")</f>
        <v/>
      </c>
      <c r="H95" s="30" t="n"/>
      <c r="I95" s="30" t="n"/>
      <c r="J95" s="30" t="n"/>
      <c r="K95" s="33" t="n"/>
      <c r="M95" s="33" t="n"/>
      <c r="O95" s="34" t="n"/>
      <c r="R95" s="34" t="n"/>
    </row>
    <row r="96">
      <c r="D96" s="30" t="n"/>
      <c r="E96" s="31">
        <f>IFERROR(INDEX('Channel Performance'!$H$7:$H$15,MATCH(C96,'Channel Performance'!$A$7:$A$15,0)),1)</f>
        <v/>
      </c>
      <c r="F96" s="32">
        <f>IFERROR(INDEX('Channel Performance'!$J$7:$J$15,MATCH(C96,'Channel Performance'!$A$7:$A$15,0)),"No data — pure prior")</f>
        <v/>
      </c>
      <c r="G96" s="32">
        <f>IFERROR(ROUND(MIN(10,MAX(1,D96*E96)),1),"")</f>
        <v/>
      </c>
      <c r="H96" s="30" t="n"/>
      <c r="I96" s="30" t="n"/>
      <c r="J96" s="30" t="n"/>
      <c r="K96" s="33" t="n"/>
      <c r="M96" s="33" t="n"/>
      <c r="O96" s="34" t="n"/>
      <c r="R96" s="34" t="n"/>
    </row>
    <row r="97">
      <c r="D97" s="30" t="n"/>
      <c r="E97" s="31">
        <f>IFERROR(INDEX('Channel Performance'!$H$7:$H$15,MATCH(C97,'Channel Performance'!$A$7:$A$15,0)),1)</f>
        <v/>
      </c>
      <c r="F97" s="32">
        <f>IFERROR(INDEX('Channel Performance'!$J$7:$J$15,MATCH(C97,'Channel Performance'!$A$7:$A$15,0)),"No data — pure prior")</f>
        <v/>
      </c>
      <c r="G97" s="32">
        <f>IFERROR(ROUND(MIN(10,MAX(1,D97*E97)),1),"")</f>
        <v/>
      </c>
      <c r="H97" s="30" t="n"/>
      <c r="I97" s="30" t="n"/>
      <c r="J97" s="30" t="n"/>
      <c r="K97" s="33" t="n"/>
      <c r="M97" s="33" t="n"/>
      <c r="O97" s="34" t="n"/>
      <c r="R97" s="34" t="n"/>
    </row>
    <row r="98">
      <c r="D98" s="30" t="n"/>
      <c r="E98" s="31">
        <f>IFERROR(INDEX('Channel Performance'!$H$7:$H$15,MATCH(C98,'Channel Performance'!$A$7:$A$15,0)),1)</f>
        <v/>
      </c>
      <c r="F98" s="32">
        <f>IFERROR(INDEX('Channel Performance'!$J$7:$J$15,MATCH(C98,'Channel Performance'!$A$7:$A$15,0)),"No data — pure prior")</f>
        <v/>
      </c>
      <c r="G98" s="32">
        <f>IFERROR(ROUND(MIN(10,MAX(1,D98*E98)),1),"")</f>
        <v/>
      </c>
      <c r="H98" s="30" t="n"/>
      <c r="I98" s="30" t="n"/>
      <c r="J98" s="30" t="n"/>
      <c r="K98" s="33" t="n"/>
      <c r="M98" s="33" t="n"/>
      <c r="O98" s="34" t="n"/>
      <c r="R98" s="34" t="n"/>
    </row>
    <row r="99">
      <c r="D99" s="30" t="n"/>
      <c r="E99" s="31">
        <f>IFERROR(INDEX('Channel Performance'!$H$7:$H$15,MATCH(C99,'Channel Performance'!$A$7:$A$15,0)),1)</f>
        <v/>
      </c>
      <c r="F99" s="32">
        <f>IFERROR(INDEX('Channel Performance'!$J$7:$J$15,MATCH(C99,'Channel Performance'!$A$7:$A$15,0)),"No data — pure prior")</f>
        <v/>
      </c>
      <c r="G99" s="32">
        <f>IFERROR(ROUND(MIN(10,MAX(1,D99*E99)),1),"")</f>
        <v/>
      </c>
      <c r="H99" s="30" t="n"/>
      <c r="I99" s="30" t="n"/>
      <c r="J99" s="30" t="n"/>
      <c r="K99" s="33" t="n"/>
      <c r="M99" s="33" t="n"/>
      <c r="O99" s="34" t="n"/>
      <c r="R99" s="34" t="n"/>
    </row>
    <row r="100">
      <c r="D100" s="30" t="n"/>
      <c r="E100" s="31">
        <f>IFERROR(INDEX('Channel Performance'!$H$7:$H$15,MATCH(C100,'Channel Performance'!$A$7:$A$15,0)),1)</f>
        <v/>
      </c>
      <c r="F100" s="32">
        <f>IFERROR(INDEX('Channel Performance'!$J$7:$J$15,MATCH(C100,'Channel Performance'!$A$7:$A$15,0)),"No data — pure prior")</f>
        <v/>
      </c>
      <c r="G100" s="32">
        <f>IFERROR(ROUND(MIN(10,MAX(1,D100*E100)),1),"")</f>
        <v/>
      </c>
      <c r="H100" s="30" t="n"/>
      <c r="I100" s="30" t="n"/>
      <c r="J100" s="30" t="n"/>
      <c r="K100" s="33" t="n"/>
      <c r="M100" s="33" t="n"/>
      <c r="O100" s="34" t="n"/>
      <c r="R100" s="34" t="n"/>
    </row>
    <row r="101">
      <c r="D101" s="30" t="n"/>
      <c r="E101" s="31">
        <f>IFERROR(INDEX('Channel Performance'!$H$7:$H$15,MATCH(C101,'Channel Performance'!$A$7:$A$15,0)),1)</f>
        <v/>
      </c>
      <c r="F101" s="32">
        <f>IFERROR(INDEX('Channel Performance'!$J$7:$J$15,MATCH(C101,'Channel Performance'!$A$7:$A$15,0)),"No data — pure prior")</f>
        <v/>
      </c>
      <c r="G101" s="32">
        <f>IFERROR(ROUND(MIN(10,MAX(1,D101*E101)),1),"")</f>
        <v/>
      </c>
      <c r="H101" s="30" t="n"/>
      <c r="I101" s="30" t="n"/>
      <c r="J101" s="30" t="n"/>
      <c r="K101" s="33" t="n"/>
      <c r="M101" s="33" t="n"/>
      <c r="O101" s="34" t="n"/>
      <c r="R101" s="34" t="n"/>
    </row>
    <row r="102">
      <c r="D102" s="30" t="n"/>
      <c r="E102" s="31">
        <f>IFERROR(INDEX('Channel Performance'!$H$7:$H$15,MATCH(C102,'Channel Performance'!$A$7:$A$15,0)),1)</f>
        <v/>
      </c>
      <c r="F102" s="32">
        <f>IFERROR(INDEX('Channel Performance'!$J$7:$J$15,MATCH(C102,'Channel Performance'!$A$7:$A$15,0)),"No data — pure prior")</f>
        <v/>
      </c>
      <c r="G102" s="32">
        <f>IFERROR(ROUND(MIN(10,MAX(1,D102*E102)),1),"")</f>
        <v/>
      </c>
      <c r="H102" s="30" t="n"/>
      <c r="I102" s="30" t="n"/>
      <c r="J102" s="30" t="n"/>
      <c r="K102" s="33" t="n"/>
      <c r="M102" s="33" t="n"/>
      <c r="O102" s="34" t="n"/>
      <c r="R102" s="34" t="n"/>
    </row>
    <row r="103">
      <c r="D103" s="30" t="n"/>
      <c r="E103" s="31">
        <f>IFERROR(INDEX('Channel Performance'!$H$7:$H$15,MATCH(C103,'Channel Performance'!$A$7:$A$15,0)),1)</f>
        <v/>
      </c>
      <c r="F103" s="32">
        <f>IFERROR(INDEX('Channel Performance'!$J$7:$J$15,MATCH(C103,'Channel Performance'!$A$7:$A$15,0)),"No data — pure prior")</f>
        <v/>
      </c>
      <c r="G103" s="32">
        <f>IFERROR(ROUND(MIN(10,MAX(1,D103*E103)),1),"")</f>
        <v/>
      </c>
      <c r="H103" s="30" t="n"/>
      <c r="I103" s="30" t="n"/>
      <c r="J103" s="30" t="n"/>
      <c r="K103" s="33" t="n"/>
      <c r="M103" s="33" t="n"/>
      <c r="O103" s="34" t="n"/>
      <c r="R103" s="34" t="n"/>
    </row>
    <row r="104">
      <c r="D104" s="30" t="n"/>
      <c r="E104" s="31">
        <f>IFERROR(INDEX('Channel Performance'!$H$7:$H$15,MATCH(C104,'Channel Performance'!$A$7:$A$15,0)),1)</f>
        <v/>
      </c>
      <c r="F104" s="32">
        <f>IFERROR(INDEX('Channel Performance'!$J$7:$J$15,MATCH(C104,'Channel Performance'!$A$7:$A$15,0)),"No data — pure prior")</f>
        <v/>
      </c>
      <c r="G104" s="32">
        <f>IFERROR(ROUND(MIN(10,MAX(1,D104*E104)),1),"")</f>
        <v/>
      </c>
      <c r="H104" s="30" t="n"/>
      <c r="I104" s="30" t="n"/>
      <c r="J104" s="30" t="n"/>
      <c r="K104" s="33" t="n"/>
      <c r="M104" s="33" t="n"/>
      <c r="O104" s="34" t="n"/>
      <c r="R104" s="34" t="n"/>
    </row>
    <row r="105">
      <c r="D105" s="30" t="n"/>
      <c r="E105" s="31">
        <f>IFERROR(INDEX('Channel Performance'!$H$7:$H$15,MATCH(C105,'Channel Performance'!$A$7:$A$15,0)),1)</f>
        <v/>
      </c>
      <c r="F105" s="32">
        <f>IFERROR(INDEX('Channel Performance'!$J$7:$J$15,MATCH(C105,'Channel Performance'!$A$7:$A$15,0)),"No data — pure prior")</f>
        <v/>
      </c>
      <c r="G105" s="32">
        <f>IFERROR(ROUND(MIN(10,MAX(1,D105*E105)),1),"")</f>
        <v/>
      </c>
      <c r="H105" s="30" t="n"/>
      <c r="I105" s="30" t="n"/>
      <c r="J105" s="30" t="n"/>
      <c r="K105" s="33" t="n"/>
      <c r="M105" s="33" t="n"/>
      <c r="O105" s="34" t="n"/>
      <c r="R105" s="34" t="n"/>
    </row>
    <row r="106">
      <c r="D106" s="30" t="n"/>
      <c r="E106" s="31">
        <f>IFERROR(INDEX('Channel Performance'!$H$7:$H$15,MATCH(C106,'Channel Performance'!$A$7:$A$15,0)),1)</f>
        <v/>
      </c>
      <c r="F106" s="32">
        <f>IFERROR(INDEX('Channel Performance'!$J$7:$J$15,MATCH(C106,'Channel Performance'!$A$7:$A$15,0)),"No data — pure prior")</f>
        <v/>
      </c>
      <c r="G106" s="32">
        <f>IFERROR(ROUND(MIN(10,MAX(1,D106*E106)),1),"")</f>
        <v/>
      </c>
      <c r="H106" s="30" t="n"/>
      <c r="I106" s="30" t="n"/>
      <c r="J106" s="30" t="n"/>
      <c r="K106" s="33" t="n"/>
      <c r="M106" s="33" t="n"/>
      <c r="O106" s="34" t="n"/>
      <c r="R106" s="34" t="n"/>
    </row>
    <row r="107">
      <c r="D107" s="30" t="n"/>
      <c r="E107" s="31">
        <f>IFERROR(INDEX('Channel Performance'!$H$7:$H$15,MATCH(C107,'Channel Performance'!$A$7:$A$15,0)),1)</f>
        <v/>
      </c>
      <c r="F107" s="32">
        <f>IFERROR(INDEX('Channel Performance'!$J$7:$J$15,MATCH(C107,'Channel Performance'!$A$7:$A$15,0)),"No data — pure prior")</f>
        <v/>
      </c>
      <c r="G107" s="32">
        <f>IFERROR(ROUND(MIN(10,MAX(1,D107*E107)),1),"")</f>
        <v/>
      </c>
      <c r="H107" s="30" t="n"/>
      <c r="I107" s="30" t="n"/>
      <c r="J107" s="30" t="n"/>
      <c r="K107" s="33" t="n"/>
      <c r="M107" s="33" t="n"/>
      <c r="O107" s="34" t="n"/>
      <c r="R107" s="34" t="n"/>
    </row>
    <row r="108">
      <c r="D108" s="30" t="n"/>
      <c r="E108" s="31">
        <f>IFERROR(INDEX('Channel Performance'!$H$7:$H$15,MATCH(C108,'Channel Performance'!$A$7:$A$15,0)),1)</f>
        <v/>
      </c>
      <c r="F108" s="32">
        <f>IFERROR(INDEX('Channel Performance'!$J$7:$J$15,MATCH(C108,'Channel Performance'!$A$7:$A$15,0)),"No data — pure prior")</f>
        <v/>
      </c>
      <c r="G108" s="32">
        <f>IFERROR(ROUND(MIN(10,MAX(1,D108*E108)),1),"")</f>
        <v/>
      </c>
      <c r="H108" s="30" t="n"/>
      <c r="I108" s="30" t="n"/>
      <c r="J108" s="30" t="n"/>
      <c r="K108" s="33" t="n"/>
      <c r="M108" s="33" t="n"/>
      <c r="O108" s="34" t="n"/>
      <c r="R108" s="34" t="n"/>
    </row>
    <row r="109">
      <c r="D109" s="30" t="n"/>
      <c r="E109" s="31">
        <f>IFERROR(INDEX('Channel Performance'!$H$7:$H$15,MATCH(C109,'Channel Performance'!$A$7:$A$15,0)),1)</f>
        <v/>
      </c>
      <c r="F109" s="32">
        <f>IFERROR(INDEX('Channel Performance'!$J$7:$J$15,MATCH(C109,'Channel Performance'!$A$7:$A$15,0)),"No data — pure prior")</f>
        <v/>
      </c>
      <c r="G109" s="32">
        <f>IFERROR(ROUND(MIN(10,MAX(1,D109*E109)),1),"")</f>
        <v/>
      </c>
      <c r="H109" s="30" t="n"/>
      <c r="I109" s="30" t="n"/>
      <c r="J109" s="30" t="n"/>
      <c r="K109" s="33" t="n"/>
      <c r="M109" s="33" t="n"/>
      <c r="O109" s="34" t="n"/>
      <c r="R109" s="34" t="n"/>
    </row>
    <row r="110">
      <c r="D110" s="30" t="n"/>
      <c r="E110" s="31">
        <f>IFERROR(INDEX('Channel Performance'!$H$7:$H$15,MATCH(C110,'Channel Performance'!$A$7:$A$15,0)),1)</f>
        <v/>
      </c>
      <c r="F110" s="32">
        <f>IFERROR(INDEX('Channel Performance'!$J$7:$J$15,MATCH(C110,'Channel Performance'!$A$7:$A$15,0)),"No data — pure prior")</f>
        <v/>
      </c>
      <c r="G110" s="32">
        <f>IFERROR(ROUND(MIN(10,MAX(1,D110*E110)),1),"")</f>
        <v/>
      </c>
      <c r="H110" s="30" t="n"/>
      <c r="I110" s="30" t="n"/>
      <c r="J110" s="30" t="n"/>
      <c r="K110" s="33" t="n"/>
      <c r="M110" s="33" t="n"/>
      <c r="O110" s="34" t="n"/>
      <c r="R110" s="34" t="n"/>
    </row>
    <row r="111">
      <c r="D111" s="30" t="n"/>
      <c r="E111" s="31">
        <f>IFERROR(INDEX('Channel Performance'!$H$7:$H$15,MATCH(C111,'Channel Performance'!$A$7:$A$15,0)),1)</f>
        <v/>
      </c>
      <c r="F111" s="32">
        <f>IFERROR(INDEX('Channel Performance'!$J$7:$J$15,MATCH(C111,'Channel Performance'!$A$7:$A$15,0)),"No data — pure prior")</f>
        <v/>
      </c>
      <c r="G111" s="32">
        <f>IFERROR(ROUND(MIN(10,MAX(1,D111*E111)),1),"")</f>
        <v/>
      </c>
      <c r="H111" s="30" t="n"/>
      <c r="I111" s="30" t="n"/>
      <c r="J111" s="30" t="n"/>
      <c r="K111" s="33" t="n"/>
      <c r="M111" s="33" t="n"/>
      <c r="O111" s="34" t="n"/>
      <c r="R111" s="34" t="n"/>
    </row>
    <row r="112">
      <c r="D112" s="30" t="n"/>
      <c r="E112" s="31">
        <f>IFERROR(INDEX('Channel Performance'!$H$7:$H$15,MATCH(C112,'Channel Performance'!$A$7:$A$15,0)),1)</f>
        <v/>
      </c>
      <c r="F112" s="32">
        <f>IFERROR(INDEX('Channel Performance'!$J$7:$J$15,MATCH(C112,'Channel Performance'!$A$7:$A$15,0)),"No data — pure prior")</f>
        <v/>
      </c>
      <c r="G112" s="32">
        <f>IFERROR(ROUND(MIN(10,MAX(1,D112*E112)),1),"")</f>
        <v/>
      </c>
      <c r="H112" s="30" t="n"/>
      <c r="I112" s="30" t="n"/>
      <c r="J112" s="30" t="n"/>
      <c r="K112" s="33" t="n"/>
      <c r="M112" s="33" t="n"/>
      <c r="O112" s="34" t="n"/>
      <c r="R112" s="34" t="n"/>
    </row>
    <row r="113">
      <c r="D113" s="30" t="n"/>
      <c r="E113" s="31">
        <f>IFERROR(INDEX('Channel Performance'!$H$7:$H$15,MATCH(C113,'Channel Performance'!$A$7:$A$15,0)),1)</f>
        <v/>
      </c>
      <c r="F113" s="32">
        <f>IFERROR(INDEX('Channel Performance'!$J$7:$J$15,MATCH(C113,'Channel Performance'!$A$7:$A$15,0)),"No data — pure prior")</f>
        <v/>
      </c>
      <c r="G113" s="32">
        <f>IFERROR(ROUND(MIN(10,MAX(1,D113*E113)),1),"")</f>
        <v/>
      </c>
      <c r="H113" s="30" t="n"/>
      <c r="I113" s="30" t="n"/>
      <c r="J113" s="30" t="n"/>
      <c r="K113" s="33" t="n"/>
      <c r="M113" s="33" t="n"/>
      <c r="O113" s="34" t="n"/>
      <c r="R113" s="34" t="n"/>
    </row>
    <row r="114">
      <c r="D114" s="30" t="n"/>
      <c r="E114" s="31">
        <f>IFERROR(INDEX('Channel Performance'!$H$7:$H$15,MATCH(C114,'Channel Performance'!$A$7:$A$15,0)),1)</f>
        <v/>
      </c>
      <c r="F114" s="32">
        <f>IFERROR(INDEX('Channel Performance'!$J$7:$J$15,MATCH(C114,'Channel Performance'!$A$7:$A$15,0)),"No data — pure prior")</f>
        <v/>
      </c>
      <c r="G114" s="32">
        <f>IFERROR(ROUND(MIN(10,MAX(1,D114*E114)),1),"")</f>
        <v/>
      </c>
      <c r="H114" s="30" t="n"/>
      <c r="I114" s="30" t="n"/>
      <c r="J114" s="30" t="n"/>
      <c r="K114" s="33" t="n"/>
      <c r="M114" s="33" t="n"/>
      <c r="O114" s="34" t="n"/>
      <c r="R114" s="34" t="n"/>
    </row>
    <row r="115">
      <c r="D115" s="30" t="n"/>
      <c r="E115" s="31">
        <f>IFERROR(INDEX('Channel Performance'!$H$7:$H$15,MATCH(C115,'Channel Performance'!$A$7:$A$15,0)),1)</f>
        <v/>
      </c>
      <c r="F115" s="32">
        <f>IFERROR(INDEX('Channel Performance'!$J$7:$J$15,MATCH(C115,'Channel Performance'!$A$7:$A$15,0)),"No data — pure prior")</f>
        <v/>
      </c>
      <c r="G115" s="32">
        <f>IFERROR(ROUND(MIN(10,MAX(1,D115*E115)),1),"")</f>
        <v/>
      </c>
      <c r="H115" s="30" t="n"/>
      <c r="I115" s="30" t="n"/>
      <c r="J115" s="30" t="n"/>
      <c r="K115" s="33" t="n"/>
      <c r="M115" s="33" t="n"/>
      <c r="O115" s="34" t="n"/>
      <c r="R115" s="34" t="n"/>
    </row>
    <row r="116">
      <c r="D116" s="30" t="n"/>
      <c r="E116" s="31">
        <f>IFERROR(INDEX('Channel Performance'!$H$7:$H$15,MATCH(C116,'Channel Performance'!$A$7:$A$15,0)),1)</f>
        <v/>
      </c>
      <c r="F116" s="32">
        <f>IFERROR(INDEX('Channel Performance'!$J$7:$J$15,MATCH(C116,'Channel Performance'!$A$7:$A$15,0)),"No data — pure prior")</f>
        <v/>
      </c>
      <c r="G116" s="32">
        <f>IFERROR(ROUND(MIN(10,MAX(1,D116*E116)),1),"")</f>
        <v/>
      </c>
      <c r="H116" s="30" t="n"/>
      <c r="I116" s="30" t="n"/>
      <c r="J116" s="30" t="n"/>
      <c r="K116" s="33" t="n"/>
      <c r="M116" s="33" t="n"/>
      <c r="O116" s="34" t="n"/>
      <c r="R116" s="34" t="n"/>
    </row>
    <row r="117">
      <c r="D117" s="30" t="n"/>
      <c r="E117" s="31">
        <f>IFERROR(INDEX('Channel Performance'!$H$7:$H$15,MATCH(C117,'Channel Performance'!$A$7:$A$15,0)),1)</f>
        <v/>
      </c>
      <c r="F117" s="32">
        <f>IFERROR(INDEX('Channel Performance'!$J$7:$J$15,MATCH(C117,'Channel Performance'!$A$7:$A$15,0)),"No data — pure prior")</f>
        <v/>
      </c>
      <c r="G117" s="32">
        <f>IFERROR(ROUND(MIN(10,MAX(1,D117*E117)),1),"")</f>
        <v/>
      </c>
      <c r="H117" s="30" t="n"/>
      <c r="I117" s="30" t="n"/>
      <c r="J117" s="30" t="n"/>
      <c r="K117" s="33" t="n"/>
      <c r="M117" s="33" t="n"/>
      <c r="O117" s="34" t="n"/>
      <c r="R117" s="34" t="n"/>
    </row>
    <row r="118">
      <c r="D118" s="30" t="n"/>
      <c r="E118" s="31">
        <f>IFERROR(INDEX('Channel Performance'!$H$7:$H$15,MATCH(C118,'Channel Performance'!$A$7:$A$15,0)),1)</f>
        <v/>
      </c>
      <c r="F118" s="32">
        <f>IFERROR(INDEX('Channel Performance'!$J$7:$J$15,MATCH(C118,'Channel Performance'!$A$7:$A$15,0)),"No data — pure prior")</f>
        <v/>
      </c>
      <c r="G118" s="32">
        <f>IFERROR(ROUND(MIN(10,MAX(1,D118*E118)),1),"")</f>
        <v/>
      </c>
      <c r="H118" s="30" t="n"/>
      <c r="I118" s="30" t="n"/>
      <c r="J118" s="30" t="n"/>
      <c r="K118" s="33" t="n"/>
      <c r="M118" s="33" t="n"/>
      <c r="O118" s="34" t="n"/>
      <c r="R118" s="34" t="n"/>
    </row>
    <row r="119">
      <c r="D119" s="30" t="n"/>
      <c r="E119" s="31">
        <f>IFERROR(INDEX('Channel Performance'!$H$7:$H$15,MATCH(C119,'Channel Performance'!$A$7:$A$15,0)),1)</f>
        <v/>
      </c>
      <c r="F119" s="32">
        <f>IFERROR(INDEX('Channel Performance'!$J$7:$J$15,MATCH(C119,'Channel Performance'!$A$7:$A$15,0)),"No data — pure prior")</f>
        <v/>
      </c>
      <c r="G119" s="32">
        <f>IFERROR(ROUND(MIN(10,MAX(1,D119*E119)),1),"")</f>
        <v/>
      </c>
      <c r="H119" s="30" t="n"/>
      <c r="I119" s="30" t="n"/>
      <c r="J119" s="30" t="n"/>
      <c r="K119" s="33" t="n"/>
      <c r="M119" s="33" t="n"/>
      <c r="O119" s="34" t="n"/>
      <c r="R119" s="34" t="n"/>
    </row>
    <row r="120">
      <c r="D120" s="30" t="n"/>
      <c r="E120" s="31">
        <f>IFERROR(INDEX('Channel Performance'!$H$7:$H$15,MATCH(C120,'Channel Performance'!$A$7:$A$15,0)),1)</f>
        <v/>
      </c>
      <c r="F120" s="32">
        <f>IFERROR(INDEX('Channel Performance'!$J$7:$J$15,MATCH(C120,'Channel Performance'!$A$7:$A$15,0)),"No data — pure prior")</f>
        <v/>
      </c>
      <c r="G120" s="32">
        <f>IFERROR(ROUND(MIN(10,MAX(1,D120*E120)),1),"")</f>
        <v/>
      </c>
      <c r="H120" s="30" t="n"/>
      <c r="I120" s="30" t="n"/>
      <c r="J120" s="30" t="n"/>
      <c r="K120" s="33" t="n"/>
      <c r="M120" s="33" t="n"/>
      <c r="O120" s="34" t="n"/>
      <c r="R120" s="34" t="n"/>
    </row>
    <row r="121">
      <c r="D121" s="30" t="n"/>
      <c r="E121" s="31">
        <f>IFERROR(INDEX('Channel Performance'!$H$7:$H$15,MATCH(C121,'Channel Performance'!$A$7:$A$15,0)),1)</f>
        <v/>
      </c>
      <c r="F121" s="32">
        <f>IFERROR(INDEX('Channel Performance'!$J$7:$J$15,MATCH(C121,'Channel Performance'!$A$7:$A$15,0)),"No data — pure prior")</f>
        <v/>
      </c>
      <c r="G121" s="32">
        <f>IFERROR(ROUND(MIN(10,MAX(1,D121*E121)),1),"")</f>
        <v/>
      </c>
      <c r="H121" s="30" t="n"/>
      <c r="I121" s="30" t="n"/>
      <c r="J121" s="30" t="n"/>
      <c r="K121" s="33" t="n"/>
      <c r="M121" s="33" t="n"/>
      <c r="O121" s="34" t="n"/>
      <c r="R121" s="34" t="n"/>
    </row>
    <row r="122">
      <c r="D122" s="30" t="n"/>
      <c r="E122" s="31">
        <f>IFERROR(INDEX('Channel Performance'!$H$7:$H$15,MATCH(C122,'Channel Performance'!$A$7:$A$15,0)),1)</f>
        <v/>
      </c>
      <c r="F122" s="32">
        <f>IFERROR(INDEX('Channel Performance'!$J$7:$J$15,MATCH(C122,'Channel Performance'!$A$7:$A$15,0)),"No data — pure prior")</f>
        <v/>
      </c>
      <c r="G122" s="32">
        <f>IFERROR(ROUND(MIN(10,MAX(1,D122*E122)),1),"")</f>
        <v/>
      </c>
      <c r="H122" s="30" t="n"/>
      <c r="I122" s="30" t="n"/>
      <c r="J122" s="30" t="n"/>
      <c r="K122" s="33" t="n"/>
      <c r="M122" s="33" t="n"/>
      <c r="O122" s="34" t="n"/>
      <c r="R122" s="34" t="n"/>
    </row>
    <row r="123">
      <c r="D123" s="30" t="n"/>
      <c r="E123" s="31">
        <f>IFERROR(INDEX('Channel Performance'!$H$7:$H$15,MATCH(C123,'Channel Performance'!$A$7:$A$15,0)),1)</f>
        <v/>
      </c>
      <c r="F123" s="32">
        <f>IFERROR(INDEX('Channel Performance'!$J$7:$J$15,MATCH(C123,'Channel Performance'!$A$7:$A$15,0)),"No data — pure prior")</f>
        <v/>
      </c>
      <c r="G123" s="32">
        <f>IFERROR(ROUND(MIN(10,MAX(1,D123*E123)),1),"")</f>
        <v/>
      </c>
      <c r="H123" s="30" t="n"/>
      <c r="I123" s="30" t="n"/>
      <c r="J123" s="30" t="n"/>
      <c r="K123" s="33" t="n"/>
      <c r="M123" s="33" t="n"/>
      <c r="O123" s="34" t="n"/>
      <c r="R123" s="34" t="n"/>
    </row>
    <row r="124">
      <c r="D124" s="30" t="n"/>
      <c r="E124" s="31">
        <f>IFERROR(INDEX('Channel Performance'!$H$7:$H$15,MATCH(C124,'Channel Performance'!$A$7:$A$15,0)),1)</f>
        <v/>
      </c>
      <c r="F124" s="32">
        <f>IFERROR(INDEX('Channel Performance'!$J$7:$J$15,MATCH(C124,'Channel Performance'!$A$7:$A$15,0)),"No data — pure prior")</f>
        <v/>
      </c>
      <c r="G124" s="32">
        <f>IFERROR(ROUND(MIN(10,MAX(1,D124*E124)),1),"")</f>
        <v/>
      </c>
      <c r="H124" s="30" t="n"/>
      <c r="I124" s="30" t="n"/>
      <c r="J124" s="30" t="n"/>
      <c r="K124" s="33" t="n"/>
      <c r="M124" s="33" t="n"/>
      <c r="O124" s="34" t="n"/>
      <c r="R124" s="34" t="n"/>
    </row>
    <row r="125">
      <c r="D125" s="30" t="n"/>
      <c r="E125" s="31">
        <f>IFERROR(INDEX('Channel Performance'!$H$7:$H$15,MATCH(C125,'Channel Performance'!$A$7:$A$15,0)),1)</f>
        <v/>
      </c>
      <c r="F125" s="32">
        <f>IFERROR(INDEX('Channel Performance'!$J$7:$J$15,MATCH(C125,'Channel Performance'!$A$7:$A$15,0)),"No data — pure prior")</f>
        <v/>
      </c>
      <c r="G125" s="32">
        <f>IFERROR(ROUND(MIN(10,MAX(1,D125*E125)),1),"")</f>
        <v/>
      </c>
      <c r="H125" s="30" t="n"/>
      <c r="I125" s="30" t="n"/>
      <c r="J125" s="30" t="n"/>
      <c r="K125" s="33" t="n"/>
      <c r="M125" s="33" t="n"/>
      <c r="O125" s="34" t="n"/>
      <c r="R125" s="34" t="n"/>
    </row>
    <row r="126">
      <c r="D126" s="30" t="n"/>
      <c r="E126" s="31">
        <f>IFERROR(INDEX('Channel Performance'!$H$7:$H$15,MATCH(C126,'Channel Performance'!$A$7:$A$15,0)),1)</f>
        <v/>
      </c>
      <c r="F126" s="32">
        <f>IFERROR(INDEX('Channel Performance'!$J$7:$J$15,MATCH(C126,'Channel Performance'!$A$7:$A$15,0)),"No data — pure prior")</f>
        <v/>
      </c>
      <c r="G126" s="32">
        <f>IFERROR(ROUND(MIN(10,MAX(1,D126*E126)),1),"")</f>
        <v/>
      </c>
      <c r="H126" s="30" t="n"/>
      <c r="I126" s="30" t="n"/>
      <c r="J126" s="30" t="n"/>
      <c r="K126" s="33" t="n"/>
      <c r="M126" s="33" t="n"/>
      <c r="O126" s="34" t="n"/>
      <c r="R126" s="34" t="n"/>
    </row>
    <row r="127">
      <c r="D127" s="30" t="n"/>
      <c r="E127" s="31">
        <f>IFERROR(INDEX('Channel Performance'!$H$7:$H$15,MATCH(C127,'Channel Performance'!$A$7:$A$15,0)),1)</f>
        <v/>
      </c>
      <c r="F127" s="32">
        <f>IFERROR(INDEX('Channel Performance'!$J$7:$J$15,MATCH(C127,'Channel Performance'!$A$7:$A$15,0)),"No data — pure prior")</f>
        <v/>
      </c>
      <c r="G127" s="32">
        <f>IFERROR(ROUND(MIN(10,MAX(1,D127*E127)),1),"")</f>
        <v/>
      </c>
      <c r="H127" s="30" t="n"/>
      <c r="I127" s="30" t="n"/>
      <c r="J127" s="30" t="n"/>
      <c r="K127" s="33" t="n"/>
      <c r="M127" s="33" t="n"/>
      <c r="O127" s="34" t="n"/>
      <c r="R127" s="34" t="n"/>
    </row>
    <row r="128">
      <c r="D128" s="30" t="n"/>
      <c r="E128" s="31">
        <f>IFERROR(INDEX('Channel Performance'!$H$7:$H$15,MATCH(C128,'Channel Performance'!$A$7:$A$15,0)),1)</f>
        <v/>
      </c>
      <c r="F128" s="32">
        <f>IFERROR(INDEX('Channel Performance'!$J$7:$J$15,MATCH(C128,'Channel Performance'!$A$7:$A$15,0)),"No data — pure prior")</f>
        <v/>
      </c>
      <c r="G128" s="32">
        <f>IFERROR(ROUND(MIN(10,MAX(1,D128*E128)),1),"")</f>
        <v/>
      </c>
      <c r="H128" s="30" t="n"/>
      <c r="I128" s="30" t="n"/>
      <c r="J128" s="30" t="n"/>
      <c r="K128" s="33" t="n"/>
      <c r="M128" s="33" t="n"/>
      <c r="O128" s="34" t="n"/>
      <c r="R128" s="34" t="n"/>
    </row>
    <row r="129">
      <c r="D129" s="30" t="n"/>
      <c r="E129" s="31">
        <f>IFERROR(INDEX('Channel Performance'!$H$7:$H$15,MATCH(C129,'Channel Performance'!$A$7:$A$15,0)),1)</f>
        <v/>
      </c>
      <c r="F129" s="32">
        <f>IFERROR(INDEX('Channel Performance'!$J$7:$J$15,MATCH(C129,'Channel Performance'!$A$7:$A$15,0)),"No data — pure prior")</f>
        <v/>
      </c>
      <c r="G129" s="32">
        <f>IFERROR(ROUND(MIN(10,MAX(1,D129*E129)),1),"")</f>
        <v/>
      </c>
      <c r="H129" s="30" t="n"/>
      <c r="I129" s="30" t="n"/>
      <c r="J129" s="30" t="n"/>
      <c r="K129" s="33" t="n"/>
      <c r="M129" s="33" t="n"/>
      <c r="O129" s="34" t="n"/>
      <c r="R129" s="34" t="n"/>
    </row>
    <row r="130">
      <c r="D130" s="30" t="n"/>
      <c r="E130" s="31">
        <f>IFERROR(INDEX('Channel Performance'!$H$7:$H$15,MATCH(C130,'Channel Performance'!$A$7:$A$15,0)),1)</f>
        <v/>
      </c>
      <c r="F130" s="32">
        <f>IFERROR(INDEX('Channel Performance'!$J$7:$J$15,MATCH(C130,'Channel Performance'!$A$7:$A$15,0)),"No data — pure prior")</f>
        <v/>
      </c>
      <c r="G130" s="32">
        <f>IFERROR(ROUND(MIN(10,MAX(1,D130*E130)),1),"")</f>
        <v/>
      </c>
      <c r="H130" s="30" t="n"/>
      <c r="I130" s="30" t="n"/>
      <c r="J130" s="30" t="n"/>
      <c r="K130" s="33" t="n"/>
      <c r="M130" s="33" t="n"/>
      <c r="O130" s="34" t="n"/>
      <c r="R130" s="34" t="n"/>
    </row>
    <row r="131">
      <c r="D131" s="30" t="n"/>
      <c r="E131" s="31">
        <f>IFERROR(INDEX('Channel Performance'!$H$7:$H$15,MATCH(C131,'Channel Performance'!$A$7:$A$15,0)),1)</f>
        <v/>
      </c>
      <c r="F131" s="32">
        <f>IFERROR(INDEX('Channel Performance'!$J$7:$J$15,MATCH(C131,'Channel Performance'!$A$7:$A$15,0)),"No data — pure prior")</f>
        <v/>
      </c>
      <c r="G131" s="32">
        <f>IFERROR(ROUND(MIN(10,MAX(1,D131*E131)),1),"")</f>
        <v/>
      </c>
      <c r="H131" s="30" t="n"/>
      <c r="I131" s="30" t="n"/>
      <c r="J131" s="30" t="n"/>
      <c r="K131" s="33" t="n"/>
      <c r="M131" s="33" t="n"/>
      <c r="O131" s="34" t="n"/>
      <c r="R131" s="34" t="n"/>
    </row>
    <row r="132">
      <c r="D132" s="30" t="n"/>
      <c r="E132" s="31">
        <f>IFERROR(INDEX('Channel Performance'!$H$7:$H$15,MATCH(C132,'Channel Performance'!$A$7:$A$15,0)),1)</f>
        <v/>
      </c>
      <c r="F132" s="32">
        <f>IFERROR(INDEX('Channel Performance'!$J$7:$J$15,MATCH(C132,'Channel Performance'!$A$7:$A$15,0)),"No data — pure prior")</f>
        <v/>
      </c>
      <c r="G132" s="32">
        <f>IFERROR(ROUND(MIN(10,MAX(1,D132*E132)),1),"")</f>
        <v/>
      </c>
      <c r="H132" s="30" t="n"/>
      <c r="I132" s="30" t="n"/>
      <c r="J132" s="30" t="n"/>
      <c r="K132" s="33" t="n"/>
      <c r="M132" s="33" t="n"/>
      <c r="O132" s="34" t="n"/>
      <c r="R132" s="34" t="n"/>
    </row>
    <row r="133">
      <c r="D133" s="30" t="n"/>
      <c r="E133" s="31">
        <f>IFERROR(INDEX('Channel Performance'!$H$7:$H$15,MATCH(C133,'Channel Performance'!$A$7:$A$15,0)),1)</f>
        <v/>
      </c>
      <c r="F133" s="32">
        <f>IFERROR(INDEX('Channel Performance'!$J$7:$J$15,MATCH(C133,'Channel Performance'!$A$7:$A$15,0)),"No data — pure prior")</f>
        <v/>
      </c>
      <c r="G133" s="32">
        <f>IFERROR(ROUND(MIN(10,MAX(1,D133*E133)),1),"")</f>
        <v/>
      </c>
      <c r="H133" s="30" t="n"/>
      <c r="I133" s="30" t="n"/>
      <c r="J133" s="30" t="n"/>
      <c r="K133" s="33" t="n"/>
      <c r="M133" s="33" t="n"/>
      <c r="O133" s="34" t="n"/>
      <c r="R133" s="34" t="n"/>
    </row>
    <row r="134">
      <c r="D134" s="30" t="n"/>
      <c r="E134" s="31">
        <f>IFERROR(INDEX('Channel Performance'!$H$7:$H$15,MATCH(C134,'Channel Performance'!$A$7:$A$15,0)),1)</f>
        <v/>
      </c>
      <c r="F134" s="32">
        <f>IFERROR(INDEX('Channel Performance'!$J$7:$J$15,MATCH(C134,'Channel Performance'!$A$7:$A$15,0)),"No data — pure prior")</f>
        <v/>
      </c>
      <c r="G134" s="32">
        <f>IFERROR(ROUND(MIN(10,MAX(1,D134*E134)),1),"")</f>
        <v/>
      </c>
      <c r="H134" s="30" t="n"/>
      <c r="I134" s="30" t="n"/>
      <c r="J134" s="30" t="n"/>
      <c r="K134" s="33" t="n"/>
      <c r="M134" s="33" t="n"/>
      <c r="O134" s="34" t="n"/>
      <c r="R134" s="34" t="n"/>
    </row>
    <row r="135">
      <c r="D135" s="30" t="n"/>
      <c r="E135" s="31">
        <f>IFERROR(INDEX('Channel Performance'!$H$7:$H$15,MATCH(C135,'Channel Performance'!$A$7:$A$15,0)),1)</f>
        <v/>
      </c>
      <c r="F135" s="32">
        <f>IFERROR(INDEX('Channel Performance'!$J$7:$J$15,MATCH(C135,'Channel Performance'!$A$7:$A$15,0)),"No data — pure prior")</f>
        <v/>
      </c>
      <c r="G135" s="32">
        <f>IFERROR(ROUND(MIN(10,MAX(1,D135*E135)),1),"")</f>
        <v/>
      </c>
      <c r="H135" s="30" t="n"/>
      <c r="I135" s="30" t="n"/>
      <c r="J135" s="30" t="n"/>
      <c r="K135" s="33" t="n"/>
      <c r="M135" s="33" t="n"/>
      <c r="O135" s="34" t="n"/>
      <c r="R135" s="34" t="n"/>
    </row>
    <row r="136">
      <c r="D136" s="30" t="n"/>
      <c r="E136" s="31">
        <f>IFERROR(INDEX('Channel Performance'!$H$7:$H$15,MATCH(C136,'Channel Performance'!$A$7:$A$15,0)),1)</f>
        <v/>
      </c>
      <c r="F136" s="32">
        <f>IFERROR(INDEX('Channel Performance'!$J$7:$J$15,MATCH(C136,'Channel Performance'!$A$7:$A$15,0)),"No data — pure prior")</f>
        <v/>
      </c>
      <c r="G136" s="32">
        <f>IFERROR(ROUND(MIN(10,MAX(1,D136*E136)),1),"")</f>
        <v/>
      </c>
      <c r="H136" s="30" t="n"/>
      <c r="I136" s="30" t="n"/>
      <c r="J136" s="30" t="n"/>
      <c r="K136" s="33" t="n"/>
      <c r="M136" s="33" t="n"/>
      <c r="O136" s="34" t="n"/>
      <c r="R136" s="34" t="n"/>
    </row>
    <row r="137">
      <c r="D137" s="30" t="n"/>
      <c r="E137" s="31">
        <f>IFERROR(INDEX('Channel Performance'!$H$7:$H$15,MATCH(C137,'Channel Performance'!$A$7:$A$15,0)),1)</f>
        <v/>
      </c>
      <c r="F137" s="32">
        <f>IFERROR(INDEX('Channel Performance'!$J$7:$J$15,MATCH(C137,'Channel Performance'!$A$7:$A$15,0)),"No data — pure prior")</f>
        <v/>
      </c>
      <c r="G137" s="32">
        <f>IFERROR(ROUND(MIN(10,MAX(1,D137*E137)),1),"")</f>
        <v/>
      </c>
      <c r="H137" s="30" t="n"/>
      <c r="I137" s="30" t="n"/>
      <c r="J137" s="30" t="n"/>
      <c r="K137" s="33" t="n"/>
      <c r="M137" s="33" t="n"/>
      <c r="O137" s="34" t="n"/>
      <c r="R137" s="34" t="n"/>
    </row>
    <row r="138">
      <c r="D138" s="30" t="n"/>
      <c r="E138" s="31">
        <f>IFERROR(INDEX('Channel Performance'!$H$7:$H$15,MATCH(C138,'Channel Performance'!$A$7:$A$15,0)),1)</f>
        <v/>
      </c>
      <c r="F138" s="32">
        <f>IFERROR(INDEX('Channel Performance'!$J$7:$J$15,MATCH(C138,'Channel Performance'!$A$7:$A$15,0)),"No data — pure prior")</f>
        <v/>
      </c>
      <c r="G138" s="32">
        <f>IFERROR(ROUND(MIN(10,MAX(1,D138*E138)),1),"")</f>
        <v/>
      </c>
      <c r="H138" s="30" t="n"/>
      <c r="I138" s="30" t="n"/>
      <c r="J138" s="30" t="n"/>
      <c r="K138" s="33" t="n"/>
      <c r="M138" s="33" t="n"/>
      <c r="O138" s="34" t="n"/>
      <c r="R138" s="34" t="n"/>
    </row>
    <row r="139">
      <c r="D139" s="30" t="n"/>
      <c r="E139" s="31">
        <f>IFERROR(INDEX('Channel Performance'!$H$7:$H$15,MATCH(C139,'Channel Performance'!$A$7:$A$15,0)),1)</f>
        <v/>
      </c>
      <c r="F139" s="32">
        <f>IFERROR(INDEX('Channel Performance'!$J$7:$J$15,MATCH(C139,'Channel Performance'!$A$7:$A$15,0)),"No data — pure prior")</f>
        <v/>
      </c>
      <c r="G139" s="32">
        <f>IFERROR(ROUND(MIN(10,MAX(1,D139*E139)),1),"")</f>
        <v/>
      </c>
      <c r="H139" s="30" t="n"/>
      <c r="I139" s="30" t="n"/>
      <c r="J139" s="30" t="n"/>
      <c r="K139" s="33" t="n"/>
      <c r="M139" s="33" t="n"/>
      <c r="O139" s="34" t="n"/>
      <c r="R139" s="34" t="n"/>
    </row>
    <row r="140">
      <c r="D140" s="30" t="n"/>
      <c r="E140" s="31">
        <f>IFERROR(INDEX('Channel Performance'!$H$7:$H$15,MATCH(C140,'Channel Performance'!$A$7:$A$15,0)),1)</f>
        <v/>
      </c>
      <c r="F140" s="32">
        <f>IFERROR(INDEX('Channel Performance'!$J$7:$J$15,MATCH(C140,'Channel Performance'!$A$7:$A$15,0)),"No data — pure prior")</f>
        <v/>
      </c>
      <c r="G140" s="32">
        <f>IFERROR(ROUND(MIN(10,MAX(1,D140*E140)),1),"")</f>
        <v/>
      </c>
      <c r="H140" s="30" t="n"/>
      <c r="I140" s="30" t="n"/>
      <c r="J140" s="30" t="n"/>
      <c r="K140" s="33" t="n"/>
      <c r="M140" s="33" t="n"/>
      <c r="O140" s="34" t="n"/>
      <c r="R140" s="34" t="n"/>
    </row>
    <row r="141">
      <c r="D141" s="30" t="n"/>
      <c r="E141" s="31">
        <f>IFERROR(INDEX('Channel Performance'!$H$7:$H$15,MATCH(C141,'Channel Performance'!$A$7:$A$15,0)),1)</f>
        <v/>
      </c>
      <c r="F141" s="32">
        <f>IFERROR(INDEX('Channel Performance'!$J$7:$J$15,MATCH(C141,'Channel Performance'!$A$7:$A$15,0)),"No data — pure prior")</f>
        <v/>
      </c>
      <c r="G141" s="32">
        <f>IFERROR(ROUND(MIN(10,MAX(1,D141*E141)),1),"")</f>
        <v/>
      </c>
      <c r="H141" s="30" t="n"/>
      <c r="I141" s="30" t="n"/>
      <c r="J141" s="30" t="n"/>
      <c r="K141" s="33" t="n"/>
      <c r="M141" s="33" t="n"/>
      <c r="O141" s="34" t="n"/>
      <c r="R141" s="34" t="n"/>
    </row>
    <row r="142">
      <c r="D142" s="30" t="n"/>
      <c r="E142" s="31">
        <f>IFERROR(INDEX('Channel Performance'!$H$7:$H$15,MATCH(C142,'Channel Performance'!$A$7:$A$15,0)),1)</f>
        <v/>
      </c>
      <c r="F142" s="32">
        <f>IFERROR(INDEX('Channel Performance'!$J$7:$J$15,MATCH(C142,'Channel Performance'!$A$7:$A$15,0)),"No data — pure prior")</f>
        <v/>
      </c>
      <c r="G142" s="32">
        <f>IFERROR(ROUND(MIN(10,MAX(1,D142*E142)),1),"")</f>
        <v/>
      </c>
      <c r="H142" s="30" t="n"/>
      <c r="I142" s="30" t="n"/>
      <c r="J142" s="30" t="n"/>
      <c r="K142" s="33" t="n"/>
      <c r="M142" s="33" t="n"/>
      <c r="O142" s="34" t="n"/>
      <c r="R142" s="34" t="n"/>
    </row>
    <row r="143">
      <c r="D143" s="30" t="n"/>
      <c r="E143" s="31">
        <f>IFERROR(INDEX('Channel Performance'!$H$7:$H$15,MATCH(C143,'Channel Performance'!$A$7:$A$15,0)),1)</f>
        <v/>
      </c>
      <c r="F143" s="32">
        <f>IFERROR(INDEX('Channel Performance'!$J$7:$J$15,MATCH(C143,'Channel Performance'!$A$7:$A$15,0)),"No data — pure prior")</f>
        <v/>
      </c>
      <c r="G143" s="32">
        <f>IFERROR(ROUND(MIN(10,MAX(1,D143*E143)),1),"")</f>
        <v/>
      </c>
      <c r="H143" s="30" t="n"/>
      <c r="I143" s="30" t="n"/>
      <c r="J143" s="30" t="n"/>
      <c r="K143" s="33" t="n"/>
      <c r="M143" s="33" t="n"/>
      <c r="O143" s="34" t="n"/>
      <c r="R143" s="34" t="n"/>
    </row>
    <row r="144">
      <c r="D144" s="30" t="n"/>
      <c r="E144" s="31">
        <f>IFERROR(INDEX('Channel Performance'!$H$7:$H$15,MATCH(C144,'Channel Performance'!$A$7:$A$15,0)),1)</f>
        <v/>
      </c>
      <c r="F144" s="32">
        <f>IFERROR(INDEX('Channel Performance'!$J$7:$J$15,MATCH(C144,'Channel Performance'!$A$7:$A$15,0)),"No data — pure prior")</f>
        <v/>
      </c>
      <c r="G144" s="32">
        <f>IFERROR(ROUND(MIN(10,MAX(1,D144*E144)),1),"")</f>
        <v/>
      </c>
      <c r="H144" s="30" t="n"/>
      <c r="I144" s="30" t="n"/>
      <c r="J144" s="30" t="n"/>
      <c r="K144" s="33" t="n"/>
      <c r="M144" s="33" t="n"/>
      <c r="O144" s="34" t="n"/>
      <c r="R144" s="34" t="n"/>
    </row>
    <row r="145">
      <c r="D145" s="30" t="n"/>
      <c r="E145" s="31">
        <f>IFERROR(INDEX('Channel Performance'!$H$7:$H$15,MATCH(C145,'Channel Performance'!$A$7:$A$15,0)),1)</f>
        <v/>
      </c>
      <c r="F145" s="32">
        <f>IFERROR(INDEX('Channel Performance'!$J$7:$J$15,MATCH(C145,'Channel Performance'!$A$7:$A$15,0)),"No data — pure prior")</f>
        <v/>
      </c>
      <c r="G145" s="32">
        <f>IFERROR(ROUND(MIN(10,MAX(1,D145*E145)),1),"")</f>
        <v/>
      </c>
      <c r="H145" s="30" t="n"/>
      <c r="I145" s="30" t="n"/>
      <c r="J145" s="30" t="n"/>
      <c r="K145" s="33" t="n"/>
      <c r="M145" s="33" t="n"/>
      <c r="O145" s="34" t="n"/>
      <c r="R145" s="34" t="n"/>
    </row>
    <row r="146">
      <c r="D146" s="30" t="n"/>
      <c r="E146" s="31">
        <f>IFERROR(INDEX('Channel Performance'!$H$7:$H$15,MATCH(C146,'Channel Performance'!$A$7:$A$15,0)),1)</f>
        <v/>
      </c>
      <c r="F146" s="32">
        <f>IFERROR(INDEX('Channel Performance'!$J$7:$J$15,MATCH(C146,'Channel Performance'!$A$7:$A$15,0)),"No data — pure prior")</f>
        <v/>
      </c>
      <c r="G146" s="32">
        <f>IFERROR(ROUND(MIN(10,MAX(1,D146*E146)),1),"")</f>
        <v/>
      </c>
      <c r="H146" s="30" t="n"/>
      <c r="I146" s="30" t="n"/>
      <c r="J146" s="30" t="n"/>
      <c r="K146" s="33" t="n"/>
      <c r="M146" s="33" t="n"/>
      <c r="O146" s="34" t="n"/>
      <c r="R146" s="34" t="n"/>
    </row>
    <row r="147">
      <c r="D147" s="30" t="n"/>
      <c r="E147" s="31">
        <f>IFERROR(INDEX('Channel Performance'!$H$7:$H$15,MATCH(C147,'Channel Performance'!$A$7:$A$15,0)),1)</f>
        <v/>
      </c>
      <c r="F147" s="32">
        <f>IFERROR(INDEX('Channel Performance'!$J$7:$J$15,MATCH(C147,'Channel Performance'!$A$7:$A$15,0)),"No data — pure prior")</f>
        <v/>
      </c>
      <c r="G147" s="32">
        <f>IFERROR(ROUND(MIN(10,MAX(1,D147*E147)),1),"")</f>
        <v/>
      </c>
      <c r="H147" s="30" t="n"/>
      <c r="I147" s="30" t="n"/>
      <c r="J147" s="30" t="n"/>
      <c r="K147" s="33" t="n"/>
      <c r="M147" s="33" t="n"/>
      <c r="O147" s="34" t="n"/>
      <c r="R147" s="34" t="n"/>
    </row>
    <row r="148">
      <c r="D148" s="30" t="n"/>
      <c r="E148" s="31">
        <f>IFERROR(INDEX('Channel Performance'!$H$7:$H$15,MATCH(C148,'Channel Performance'!$A$7:$A$15,0)),1)</f>
        <v/>
      </c>
      <c r="F148" s="32">
        <f>IFERROR(INDEX('Channel Performance'!$J$7:$J$15,MATCH(C148,'Channel Performance'!$A$7:$A$15,0)),"No data — pure prior")</f>
        <v/>
      </c>
      <c r="G148" s="32">
        <f>IFERROR(ROUND(MIN(10,MAX(1,D148*E148)),1),"")</f>
        <v/>
      </c>
      <c r="H148" s="30" t="n"/>
      <c r="I148" s="30" t="n"/>
      <c r="J148" s="30" t="n"/>
      <c r="K148" s="33" t="n"/>
      <c r="M148" s="33" t="n"/>
      <c r="O148" s="34" t="n"/>
      <c r="R148" s="34" t="n"/>
    </row>
    <row r="149">
      <c r="D149" s="30" t="n"/>
      <c r="E149" s="31">
        <f>IFERROR(INDEX('Channel Performance'!$H$7:$H$15,MATCH(C149,'Channel Performance'!$A$7:$A$15,0)),1)</f>
        <v/>
      </c>
      <c r="F149" s="32">
        <f>IFERROR(INDEX('Channel Performance'!$J$7:$J$15,MATCH(C149,'Channel Performance'!$A$7:$A$15,0)),"No data — pure prior")</f>
        <v/>
      </c>
      <c r="G149" s="32">
        <f>IFERROR(ROUND(MIN(10,MAX(1,D149*E149)),1),"")</f>
        <v/>
      </c>
      <c r="H149" s="30" t="n"/>
      <c r="I149" s="30" t="n"/>
      <c r="J149" s="30" t="n"/>
      <c r="K149" s="33" t="n"/>
      <c r="M149" s="33" t="n"/>
      <c r="O149" s="34" t="n"/>
      <c r="R149" s="34" t="n"/>
    </row>
    <row r="150">
      <c r="D150" s="30" t="n"/>
      <c r="E150" s="31">
        <f>IFERROR(INDEX('Channel Performance'!$H$7:$H$15,MATCH(C150,'Channel Performance'!$A$7:$A$15,0)),1)</f>
        <v/>
      </c>
      <c r="F150" s="32">
        <f>IFERROR(INDEX('Channel Performance'!$J$7:$J$15,MATCH(C150,'Channel Performance'!$A$7:$A$15,0)),"No data — pure prior")</f>
        <v/>
      </c>
      <c r="G150" s="32">
        <f>IFERROR(ROUND(MIN(10,MAX(1,D150*E150)),1),"")</f>
        <v/>
      </c>
      <c r="H150" s="30" t="n"/>
      <c r="I150" s="30" t="n"/>
      <c r="J150" s="30" t="n"/>
      <c r="K150" s="33" t="n"/>
      <c r="M150" s="33" t="n"/>
      <c r="O150" s="34" t="n"/>
      <c r="R150" s="34" t="n"/>
    </row>
    <row r="151">
      <c r="D151" s="30" t="n"/>
      <c r="E151" s="31">
        <f>IFERROR(INDEX('Channel Performance'!$H$7:$H$15,MATCH(C151,'Channel Performance'!$A$7:$A$15,0)),1)</f>
        <v/>
      </c>
      <c r="F151" s="32">
        <f>IFERROR(INDEX('Channel Performance'!$J$7:$J$15,MATCH(C151,'Channel Performance'!$A$7:$A$15,0)),"No data — pure prior")</f>
        <v/>
      </c>
      <c r="G151" s="32">
        <f>IFERROR(ROUND(MIN(10,MAX(1,D151*E151)),1),"")</f>
        <v/>
      </c>
      <c r="H151" s="30" t="n"/>
      <c r="I151" s="30" t="n"/>
      <c r="J151" s="30" t="n"/>
      <c r="K151" s="33" t="n"/>
      <c r="M151" s="33" t="n"/>
      <c r="O151" s="34" t="n"/>
      <c r="R151" s="34" t="n"/>
    </row>
    <row r="152">
      <c r="D152" s="30" t="n"/>
      <c r="E152" s="31">
        <f>IFERROR(INDEX('Channel Performance'!$H$7:$H$15,MATCH(C152,'Channel Performance'!$A$7:$A$15,0)),1)</f>
        <v/>
      </c>
      <c r="F152" s="32">
        <f>IFERROR(INDEX('Channel Performance'!$J$7:$J$15,MATCH(C152,'Channel Performance'!$A$7:$A$15,0)),"No data — pure prior")</f>
        <v/>
      </c>
      <c r="G152" s="32">
        <f>IFERROR(ROUND(MIN(10,MAX(1,D152*E152)),1),"")</f>
        <v/>
      </c>
      <c r="H152" s="30" t="n"/>
      <c r="I152" s="30" t="n"/>
      <c r="J152" s="30" t="n"/>
      <c r="K152" s="33" t="n"/>
      <c r="M152" s="33" t="n"/>
      <c r="O152" s="34" t="n"/>
      <c r="R152" s="34" t="n"/>
    </row>
    <row r="153">
      <c r="D153" s="30" t="n"/>
      <c r="E153" s="31">
        <f>IFERROR(INDEX('Channel Performance'!$H$7:$H$15,MATCH(C153,'Channel Performance'!$A$7:$A$15,0)),1)</f>
        <v/>
      </c>
      <c r="F153" s="32">
        <f>IFERROR(INDEX('Channel Performance'!$J$7:$J$15,MATCH(C153,'Channel Performance'!$A$7:$A$15,0)),"No data — pure prior")</f>
        <v/>
      </c>
      <c r="G153" s="32">
        <f>IFERROR(ROUND(MIN(10,MAX(1,D153*E153)),1),"")</f>
        <v/>
      </c>
      <c r="H153" s="30" t="n"/>
      <c r="I153" s="30" t="n"/>
      <c r="J153" s="30" t="n"/>
      <c r="K153" s="33" t="n"/>
      <c r="M153" s="33" t="n"/>
      <c r="O153" s="34" t="n"/>
      <c r="R153" s="34" t="n"/>
    </row>
    <row r="154">
      <c r="D154" s="30" t="n"/>
      <c r="E154" s="31">
        <f>IFERROR(INDEX('Channel Performance'!$H$7:$H$15,MATCH(C154,'Channel Performance'!$A$7:$A$15,0)),1)</f>
        <v/>
      </c>
      <c r="F154" s="32">
        <f>IFERROR(INDEX('Channel Performance'!$J$7:$J$15,MATCH(C154,'Channel Performance'!$A$7:$A$15,0)),"No data — pure prior")</f>
        <v/>
      </c>
      <c r="G154" s="32">
        <f>IFERROR(ROUND(MIN(10,MAX(1,D154*E154)),1),"")</f>
        <v/>
      </c>
      <c r="H154" s="30" t="n"/>
      <c r="I154" s="30" t="n"/>
      <c r="J154" s="30" t="n"/>
      <c r="K154" s="33" t="n"/>
      <c r="M154" s="33" t="n"/>
      <c r="O154" s="34" t="n"/>
      <c r="R154" s="34" t="n"/>
    </row>
    <row r="155">
      <c r="D155" s="30" t="n"/>
      <c r="E155" s="31">
        <f>IFERROR(INDEX('Channel Performance'!$H$7:$H$15,MATCH(C155,'Channel Performance'!$A$7:$A$15,0)),1)</f>
        <v/>
      </c>
      <c r="F155" s="32">
        <f>IFERROR(INDEX('Channel Performance'!$J$7:$J$15,MATCH(C155,'Channel Performance'!$A$7:$A$15,0)),"No data — pure prior")</f>
        <v/>
      </c>
      <c r="G155" s="32">
        <f>IFERROR(ROUND(MIN(10,MAX(1,D155*E155)),1),"")</f>
        <v/>
      </c>
      <c r="H155" s="30" t="n"/>
      <c r="I155" s="30" t="n"/>
      <c r="J155" s="30" t="n"/>
      <c r="K155" s="33" t="n"/>
      <c r="M155" s="33" t="n"/>
      <c r="O155" s="34" t="n"/>
      <c r="R155" s="34" t="n"/>
    </row>
    <row r="156">
      <c r="D156" s="30" t="n"/>
      <c r="E156" s="31">
        <f>IFERROR(INDEX('Channel Performance'!$H$7:$H$15,MATCH(C156,'Channel Performance'!$A$7:$A$15,0)),1)</f>
        <v/>
      </c>
      <c r="F156" s="32">
        <f>IFERROR(INDEX('Channel Performance'!$J$7:$J$15,MATCH(C156,'Channel Performance'!$A$7:$A$15,0)),"No data — pure prior")</f>
        <v/>
      </c>
      <c r="G156" s="32">
        <f>IFERROR(ROUND(MIN(10,MAX(1,D156*E156)),1),"")</f>
        <v/>
      </c>
      <c r="H156" s="30" t="n"/>
      <c r="I156" s="30" t="n"/>
      <c r="J156" s="30" t="n"/>
      <c r="K156" s="33" t="n"/>
      <c r="M156" s="33" t="n"/>
      <c r="O156" s="34" t="n"/>
      <c r="R156" s="34" t="n"/>
    </row>
    <row r="157">
      <c r="D157" s="30" t="n"/>
      <c r="E157" s="31">
        <f>IFERROR(INDEX('Channel Performance'!$H$7:$H$15,MATCH(C157,'Channel Performance'!$A$7:$A$15,0)),1)</f>
        <v/>
      </c>
      <c r="F157" s="32">
        <f>IFERROR(INDEX('Channel Performance'!$J$7:$J$15,MATCH(C157,'Channel Performance'!$A$7:$A$15,0)),"No data — pure prior")</f>
        <v/>
      </c>
      <c r="G157" s="32">
        <f>IFERROR(ROUND(MIN(10,MAX(1,D157*E157)),1),"")</f>
        <v/>
      </c>
      <c r="H157" s="30" t="n"/>
      <c r="I157" s="30" t="n"/>
      <c r="J157" s="30" t="n"/>
      <c r="K157" s="33" t="n"/>
      <c r="M157" s="33" t="n"/>
      <c r="O157" s="34" t="n"/>
      <c r="R157" s="34" t="n"/>
    </row>
    <row r="158">
      <c r="D158" s="30" t="n"/>
      <c r="E158" s="31">
        <f>IFERROR(INDEX('Channel Performance'!$H$7:$H$15,MATCH(C158,'Channel Performance'!$A$7:$A$15,0)),1)</f>
        <v/>
      </c>
      <c r="F158" s="32">
        <f>IFERROR(INDEX('Channel Performance'!$J$7:$J$15,MATCH(C158,'Channel Performance'!$A$7:$A$15,0)),"No data — pure prior")</f>
        <v/>
      </c>
      <c r="G158" s="32">
        <f>IFERROR(ROUND(MIN(10,MAX(1,D158*E158)),1),"")</f>
        <v/>
      </c>
      <c r="H158" s="30" t="n"/>
      <c r="I158" s="30" t="n"/>
      <c r="J158" s="30" t="n"/>
      <c r="K158" s="33" t="n"/>
      <c r="M158" s="33" t="n"/>
      <c r="O158" s="34" t="n"/>
      <c r="R158" s="34" t="n"/>
    </row>
    <row r="159">
      <c r="D159" s="30" t="n"/>
      <c r="E159" s="31">
        <f>IFERROR(INDEX('Channel Performance'!$H$7:$H$15,MATCH(C159,'Channel Performance'!$A$7:$A$15,0)),1)</f>
        <v/>
      </c>
      <c r="F159" s="32">
        <f>IFERROR(INDEX('Channel Performance'!$J$7:$J$15,MATCH(C159,'Channel Performance'!$A$7:$A$15,0)),"No data — pure prior")</f>
        <v/>
      </c>
      <c r="G159" s="32">
        <f>IFERROR(ROUND(MIN(10,MAX(1,D159*E159)),1),"")</f>
        <v/>
      </c>
      <c r="H159" s="30" t="n"/>
      <c r="I159" s="30" t="n"/>
      <c r="J159" s="30" t="n"/>
      <c r="K159" s="33" t="n"/>
      <c r="M159" s="33" t="n"/>
      <c r="O159" s="34" t="n"/>
      <c r="R159" s="34" t="n"/>
    </row>
    <row r="160">
      <c r="D160" s="30" t="n"/>
      <c r="E160" s="31">
        <f>IFERROR(INDEX('Channel Performance'!$H$7:$H$15,MATCH(C160,'Channel Performance'!$A$7:$A$15,0)),1)</f>
        <v/>
      </c>
      <c r="F160" s="32">
        <f>IFERROR(INDEX('Channel Performance'!$J$7:$J$15,MATCH(C160,'Channel Performance'!$A$7:$A$15,0)),"No data — pure prior")</f>
        <v/>
      </c>
      <c r="G160" s="32">
        <f>IFERROR(ROUND(MIN(10,MAX(1,D160*E160)),1),"")</f>
        <v/>
      </c>
      <c r="H160" s="30" t="n"/>
      <c r="I160" s="30" t="n"/>
      <c r="J160" s="30" t="n"/>
      <c r="K160" s="33" t="n"/>
      <c r="M160" s="33" t="n"/>
      <c r="O160" s="34" t="n"/>
      <c r="R160" s="34" t="n"/>
    </row>
    <row r="161">
      <c r="D161" s="30" t="n"/>
      <c r="E161" s="31">
        <f>IFERROR(INDEX('Channel Performance'!$H$7:$H$15,MATCH(C161,'Channel Performance'!$A$7:$A$15,0)),1)</f>
        <v/>
      </c>
      <c r="F161" s="32">
        <f>IFERROR(INDEX('Channel Performance'!$J$7:$J$15,MATCH(C161,'Channel Performance'!$A$7:$A$15,0)),"No data — pure prior")</f>
        <v/>
      </c>
      <c r="G161" s="32">
        <f>IFERROR(ROUND(MIN(10,MAX(1,D161*E161)),1),"")</f>
        <v/>
      </c>
      <c r="H161" s="30" t="n"/>
      <c r="I161" s="30" t="n"/>
      <c r="J161" s="30" t="n"/>
      <c r="K161" s="33" t="n"/>
      <c r="M161" s="33" t="n"/>
      <c r="O161" s="34" t="n"/>
      <c r="R161" s="34" t="n"/>
    </row>
    <row r="162">
      <c r="D162" s="30" t="n"/>
      <c r="E162" s="31">
        <f>IFERROR(INDEX('Channel Performance'!$H$7:$H$15,MATCH(C162,'Channel Performance'!$A$7:$A$15,0)),1)</f>
        <v/>
      </c>
      <c r="F162" s="32">
        <f>IFERROR(INDEX('Channel Performance'!$J$7:$J$15,MATCH(C162,'Channel Performance'!$A$7:$A$15,0)),"No data — pure prior")</f>
        <v/>
      </c>
      <c r="G162" s="32">
        <f>IFERROR(ROUND(MIN(10,MAX(1,D162*E162)),1),"")</f>
        <v/>
      </c>
      <c r="H162" s="30" t="n"/>
      <c r="I162" s="30" t="n"/>
      <c r="J162" s="30" t="n"/>
      <c r="K162" s="33" t="n"/>
      <c r="M162" s="33" t="n"/>
      <c r="O162" s="34" t="n"/>
      <c r="R162" s="34" t="n"/>
    </row>
    <row r="163">
      <c r="D163" s="30" t="n"/>
      <c r="E163" s="31">
        <f>IFERROR(INDEX('Channel Performance'!$H$7:$H$15,MATCH(C163,'Channel Performance'!$A$7:$A$15,0)),1)</f>
        <v/>
      </c>
      <c r="F163" s="32">
        <f>IFERROR(INDEX('Channel Performance'!$J$7:$J$15,MATCH(C163,'Channel Performance'!$A$7:$A$15,0)),"No data — pure prior")</f>
        <v/>
      </c>
      <c r="G163" s="32">
        <f>IFERROR(ROUND(MIN(10,MAX(1,D163*E163)),1),"")</f>
        <v/>
      </c>
      <c r="H163" s="30" t="n"/>
      <c r="I163" s="30" t="n"/>
      <c r="J163" s="30" t="n"/>
      <c r="K163" s="33" t="n"/>
      <c r="M163" s="33" t="n"/>
      <c r="O163" s="34" t="n"/>
      <c r="R163" s="34" t="n"/>
    </row>
    <row r="164">
      <c r="D164" s="30" t="n"/>
      <c r="E164" s="31">
        <f>IFERROR(INDEX('Channel Performance'!$H$7:$H$15,MATCH(C164,'Channel Performance'!$A$7:$A$15,0)),1)</f>
        <v/>
      </c>
      <c r="F164" s="32">
        <f>IFERROR(INDEX('Channel Performance'!$J$7:$J$15,MATCH(C164,'Channel Performance'!$A$7:$A$15,0)),"No data — pure prior")</f>
        <v/>
      </c>
      <c r="G164" s="32">
        <f>IFERROR(ROUND(MIN(10,MAX(1,D164*E164)),1),"")</f>
        <v/>
      </c>
      <c r="H164" s="30" t="n"/>
      <c r="I164" s="30" t="n"/>
      <c r="J164" s="30" t="n"/>
      <c r="K164" s="33" t="n"/>
      <c r="M164" s="33" t="n"/>
      <c r="O164" s="34" t="n"/>
      <c r="R164" s="34" t="n"/>
    </row>
    <row r="165">
      <c r="D165" s="30" t="n"/>
      <c r="E165" s="31">
        <f>IFERROR(INDEX('Channel Performance'!$H$7:$H$15,MATCH(C165,'Channel Performance'!$A$7:$A$15,0)),1)</f>
        <v/>
      </c>
      <c r="F165" s="32">
        <f>IFERROR(INDEX('Channel Performance'!$J$7:$J$15,MATCH(C165,'Channel Performance'!$A$7:$A$15,0)),"No data — pure prior")</f>
        <v/>
      </c>
      <c r="G165" s="32">
        <f>IFERROR(ROUND(MIN(10,MAX(1,D165*E165)),1),"")</f>
        <v/>
      </c>
      <c r="H165" s="30" t="n"/>
      <c r="I165" s="30" t="n"/>
      <c r="J165" s="30" t="n"/>
      <c r="K165" s="33" t="n"/>
      <c r="M165" s="33" t="n"/>
      <c r="O165" s="34" t="n"/>
      <c r="R165" s="34" t="n"/>
    </row>
    <row r="166">
      <c r="D166" s="30" t="n"/>
      <c r="E166" s="31">
        <f>IFERROR(INDEX('Channel Performance'!$H$7:$H$15,MATCH(C166,'Channel Performance'!$A$7:$A$15,0)),1)</f>
        <v/>
      </c>
      <c r="F166" s="32">
        <f>IFERROR(INDEX('Channel Performance'!$J$7:$J$15,MATCH(C166,'Channel Performance'!$A$7:$A$15,0)),"No data — pure prior")</f>
        <v/>
      </c>
      <c r="G166" s="32">
        <f>IFERROR(ROUND(MIN(10,MAX(1,D166*E166)),1),"")</f>
        <v/>
      </c>
      <c r="H166" s="30" t="n"/>
      <c r="I166" s="30" t="n"/>
      <c r="J166" s="30" t="n"/>
      <c r="K166" s="33" t="n"/>
      <c r="M166" s="33" t="n"/>
      <c r="O166" s="34" t="n"/>
      <c r="R166" s="34" t="n"/>
    </row>
    <row r="167">
      <c r="D167" s="30" t="n"/>
      <c r="E167" s="31">
        <f>IFERROR(INDEX('Channel Performance'!$H$7:$H$15,MATCH(C167,'Channel Performance'!$A$7:$A$15,0)),1)</f>
        <v/>
      </c>
      <c r="F167" s="32">
        <f>IFERROR(INDEX('Channel Performance'!$J$7:$J$15,MATCH(C167,'Channel Performance'!$A$7:$A$15,0)),"No data — pure prior")</f>
        <v/>
      </c>
      <c r="G167" s="32">
        <f>IFERROR(ROUND(MIN(10,MAX(1,D167*E167)),1),"")</f>
        <v/>
      </c>
      <c r="H167" s="30" t="n"/>
      <c r="I167" s="30" t="n"/>
      <c r="J167" s="30" t="n"/>
      <c r="K167" s="33" t="n"/>
      <c r="M167" s="33" t="n"/>
      <c r="O167" s="34" t="n"/>
      <c r="R167" s="34" t="n"/>
    </row>
    <row r="168">
      <c r="D168" s="30" t="n"/>
      <c r="E168" s="31">
        <f>IFERROR(INDEX('Channel Performance'!$H$7:$H$15,MATCH(C168,'Channel Performance'!$A$7:$A$15,0)),1)</f>
        <v/>
      </c>
      <c r="F168" s="32">
        <f>IFERROR(INDEX('Channel Performance'!$J$7:$J$15,MATCH(C168,'Channel Performance'!$A$7:$A$15,0)),"No data — pure prior")</f>
        <v/>
      </c>
      <c r="G168" s="32">
        <f>IFERROR(ROUND(MIN(10,MAX(1,D168*E168)),1),"")</f>
        <v/>
      </c>
      <c r="H168" s="30" t="n"/>
      <c r="I168" s="30" t="n"/>
      <c r="J168" s="30" t="n"/>
      <c r="K168" s="33" t="n"/>
      <c r="M168" s="33" t="n"/>
      <c r="O168" s="34" t="n"/>
      <c r="R168" s="34" t="n"/>
    </row>
    <row r="169">
      <c r="D169" s="30" t="n"/>
      <c r="E169" s="31">
        <f>IFERROR(INDEX('Channel Performance'!$H$7:$H$15,MATCH(C169,'Channel Performance'!$A$7:$A$15,0)),1)</f>
        <v/>
      </c>
      <c r="F169" s="32">
        <f>IFERROR(INDEX('Channel Performance'!$J$7:$J$15,MATCH(C169,'Channel Performance'!$A$7:$A$15,0)),"No data — pure prior")</f>
        <v/>
      </c>
      <c r="G169" s="32">
        <f>IFERROR(ROUND(MIN(10,MAX(1,D169*E169)),1),"")</f>
        <v/>
      </c>
      <c r="H169" s="30" t="n"/>
      <c r="I169" s="30" t="n"/>
      <c r="J169" s="30" t="n"/>
      <c r="K169" s="33" t="n"/>
      <c r="M169" s="33" t="n"/>
      <c r="O169" s="34" t="n"/>
      <c r="R169" s="34" t="n"/>
    </row>
    <row r="170">
      <c r="D170" s="30" t="n"/>
      <c r="E170" s="31">
        <f>IFERROR(INDEX('Channel Performance'!$H$7:$H$15,MATCH(C170,'Channel Performance'!$A$7:$A$15,0)),1)</f>
        <v/>
      </c>
      <c r="F170" s="32">
        <f>IFERROR(INDEX('Channel Performance'!$J$7:$J$15,MATCH(C170,'Channel Performance'!$A$7:$A$15,0)),"No data — pure prior")</f>
        <v/>
      </c>
      <c r="G170" s="32">
        <f>IFERROR(ROUND(MIN(10,MAX(1,D170*E170)),1),"")</f>
        <v/>
      </c>
      <c r="H170" s="30" t="n"/>
      <c r="I170" s="30" t="n"/>
      <c r="J170" s="30" t="n"/>
      <c r="K170" s="33" t="n"/>
      <c r="M170" s="33" t="n"/>
      <c r="O170" s="34" t="n"/>
      <c r="R170" s="34" t="n"/>
    </row>
    <row r="171">
      <c r="D171" s="30" t="n"/>
      <c r="E171" s="31">
        <f>IFERROR(INDEX('Channel Performance'!$H$7:$H$15,MATCH(C171,'Channel Performance'!$A$7:$A$15,0)),1)</f>
        <v/>
      </c>
      <c r="F171" s="32">
        <f>IFERROR(INDEX('Channel Performance'!$J$7:$J$15,MATCH(C171,'Channel Performance'!$A$7:$A$15,0)),"No data — pure prior")</f>
        <v/>
      </c>
      <c r="G171" s="32">
        <f>IFERROR(ROUND(MIN(10,MAX(1,D171*E171)),1),"")</f>
        <v/>
      </c>
      <c r="H171" s="30" t="n"/>
      <c r="I171" s="30" t="n"/>
      <c r="J171" s="30" t="n"/>
      <c r="K171" s="33" t="n"/>
      <c r="M171" s="33" t="n"/>
      <c r="O171" s="34" t="n"/>
      <c r="R171" s="34" t="n"/>
    </row>
    <row r="172">
      <c r="D172" s="30" t="n"/>
      <c r="E172" s="31">
        <f>IFERROR(INDEX('Channel Performance'!$H$7:$H$15,MATCH(C172,'Channel Performance'!$A$7:$A$15,0)),1)</f>
        <v/>
      </c>
      <c r="F172" s="32">
        <f>IFERROR(INDEX('Channel Performance'!$J$7:$J$15,MATCH(C172,'Channel Performance'!$A$7:$A$15,0)),"No data — pure prior")</f>
        <v/>
      </c>
      <c r="G172" s="32">
        <f>IFERROR(ROUND(MIN(10,MAX(1,D172*E172)),1),"")</f>
        <v/>
      </c>
      <c r="H172" s="30" t="n"/>
      <c r="I172" s="30" t="n"/>
      <c r="J172" s="30" t="n"/>
      <c r="K172" s="33" t="n"/>
      <c r="M172" s="33" t="n"/>
      <c r="O172" s="34" t="n"/>
      <c r="R172" s="34" t="n"/>
    </row>
    <row r="173">
      <c r="D173" s="30" t="n"/>
      <c r="E173" s="31">
        <f>IFERROR(INDEX('Channel Performance'!$H$7:$H$15,MATCH(C173,'Channel Performance'!$A$7:$A$15,0)),1)</f>
        <v/>
      </c>
      <c r="F173" s="32">
        <f>IFERROR(INDEX('Channel Performance'!$J$7:$J$15,MATCH(C173,'Channel Performance'!$A$7:$A$15,0)),"No data — pure prior")</f>
        <v/>
      </c>
      <c r="G173" s="32">
        <f>IFERROR(ROUND(MIN(10,MAX(1,D173*E173)),1),"")</f>
        <v/>
      </c>
      <c r="H173" s="30" t="n"/>
      <c r="I173" s="30" t="n"/>
      <c r="J173" s="30" t="n"/>
      <c r="K173" s="33" t="n"/>
      <c r="M173" s="33" t="n"/>
      <c r="O173" s="34" t="n"/>
      <c r="R173" s="34" t="n"/>
    </row>
    <row r="174">
      <c r="D174" s="30" t="n"/>
      <c r="E174" s="31">
        <f>IFERROR(INDEX('Channel Performance'!$H$7:$H$15,MATCH(C174,'Channel Performance'!$A$7:$A$15,0)),1)</f>
        <v/>
      </c>
      <c r="F174" s="32">
        <f>IFERROR(INDEX('Channel Performance'!$J$7:$J$15,MATCH(C174,'Channel Performance'!$A$7:$A$15,0)),"No data — pure prior")</f>
        <v/>
      </c>
      <c r="G174" s="32">
        <f>IFERROR(ROUND(MIN(10,MAX(1,D174*E174)),1),"")</f>
        <v/>
      </c>
      <c r="H174" s="30" t="n"/>
      <c r="I174" s="30" t="n"/>
      <c r="J174" s="30" t="n"/>
      <c r="K174" s="33" t="n"/>
      <c r="M174" s="33" t="n"/>
      <c r="O174" s="34" t="n"/>
      <c r="R174" s="34" t="n"/>
    </row>
    <row r="175">
      <c r="D175" s="30" t="n"/>
      <c r="E175" s="31">
        <f>IFERROR(INDEX('Channel Performance'!$H$7:$H$15,MATCH(C175,'Channel Performance'!$A$7:$A$15,0)),1)</f>
        <v/>
      </c>
      <c r="F175" s="32">
        <f>IFERROR(INDEX('Channel Performance'!$J$7:$J$15,MATCH(C175,'Channel Performance'!$A$7:$A$15,0)),"No data — pure prior")</f>
        <v/>
      </c>
      <c r="G175" s="32">
        <f>IFERROR(ROUND(MIN(10,MAX(1,D175*E175)),1),"")</f>
        <v/>
      </c>
      <c r="H175" s="30" t="n"/>
      <c r="I175" s="30" t="n"/>
      <c r="J175" s="30" t="n"/>
      <c r="K175" s="33" t="n"/>
      <c r="M175" s="33" t="n"/>
      <c r="O175" s="34" t="n"/>
      <c r="R175" s="34" t="n"/>
    </row>
    <row r="176">
      <c r="D176" s="30" t="n"/>
      <c r="E176" s="31">
        <f>IFERROR(INDEX('Channel Performance'!$H$7:$H$15,MATCH(C176,'Channel Performance'!$A$7:$A$15,0)),1)</f>
        <v/>
      </c>
      <c r="F176" s="32">
        <f>IFERROR(INDEX('Channel Performance'!$J$7:$J$15,MATCH(C176,'Channel Performance'!$A$7:$A$15,0)),"No data — pure prior")</f>
        <v/>
      </c>
      <c r="G176" s="32">
        <f>IFERROR(ROUND(MIN(10,MAX(1,D176*E176)),1),"")</f>
        <v/>
      </c>
      <c r="H176" s="30" t="n"/>
      <c r="I176" s="30" t="n"/>
      <c r="J176" s="30" t="n"/>
      <c r="K176" s="33" t="n"/>
      <c r="M176" s="33" t="n"/>
      <c r="O176" s="34" t="n"/>
      <c r="R176" s="34" t="n"/>
    </row>
    <row r="177">
      <c r="D177" s="30" t="n"/>
      <c r="E177" s="31">
        <f>IFERROR(INDEX('Channel Performance'!$H$7:$H$15,MATCH(C177,'Channel Performance'!$A$7:$A$15,0)),1)</f>
        <v/>
      </c>
      <c r="F177" s="32">
        <f>IFERROR(INDEX('Channel Performance'!$J$7:$J$15,MATCH(C177,'Channel Performance'!$A$7:$A$15,0)),"No data — pure prior")</f>
        <v/>
      </c>
      <c r="G177" s="32">
        <f>IFERROR(ROUND(MIN(10,MAX(1,D177*E177)),1),"")</f>
        <v/>
      </c>
      <c r="H177" s="30" t="n"/>
      <c r="I177" s="30" t="n"/>
      <c r="J177" s="30" t="n"/>
      <c r="K177" s="33" t="n"/>
      <c r="M177" s="33" t="n"/>
      <c r="O177" s="34" t="n"/>
      <c r="R177" s="34" t="n"/>
    </row>
    <row r="178">
      <c r="D178" s="30" t="n"/>
      <c r="E178" s="31">
        <f>IFERROR(INDEX('Channel Performance'!$H$7:$H$15,MATCH(C178,'Channel Performance'!$A$7:$A$15,0)),1)</f>
        <v/>
      </c>
      <c r="F178" s="32">
        <f>IFERROR(INDEX('Channel Performance'!$J$7:$J$15,MATCH(C178,'Channel Performance'!$A$7:$A$15,0)),"No data — pure prior")</f>
        <v/>
      </c>
      <c r="G178" s="32">
        <f>IFERROR(ROUND(MIN(10,MAX(1,D178*E178)),1),"")</f>
        <v/>
      </c>
      <c r="H178" s="30" t="n"/>
      <c r="I178" s="30" t="n"/>
      <c r="J178" s="30" t="n"/>
      <c r="K178" s="33" t="n"/>
      <c r="M178" s="33" t="n"/>
      <c r="O178" s="34" t="n"/>
      <c r="R178" s="34" t="n"/>
    </row>
    <row r="179">
      <c r="D179" s="30" t="n"/>
      <c r="E179" s="31">
        <f>IFERROR(INDEX('Channel Performance'!$H$7:$H$15,MATCH(C179,'Channel Performance'!$A$7:$A$15,0)),1)</f>
        <v/>
      </c>
      <c r="F179" s="32">
        <f>IFERROR(INDEX('Channel Performance'!$J$7:$J$15,MATCH(C179,'Channel Performance'!$A$7:$A$15,0)),"No data — pure prior")</f>
        <v/>
      </c>
      <c r="G179" s="32">
        <f>IFERROR(ROUND(MIN(10,MAX(1,D179*E179)),1),"")</f>
        <v/>
      </c>
      <c r="H179" s="30" t="n"/>
      <c r="I179" s="30" t="n"/>
      <c r="J179" s="30" t="n"/>
      <c r="K179" s="33" t="n"/>
      <c r="M179" s="33" t="n"/>
      <c r="O179" s="34" t="n"/>
      <c r="R179" s="34" t="n"/>
    </row>
    <row r="180">
      <c r="D180" s="30" t="n"/>
      <c r="E180" s="31">
        <f>IFERROR(INDEX('Channel Performance'!$H$7:$H$15,MATCH(C180,'Channel Performance'!$A$7:$A$15,0)),1)</f>
        <v/>
      </c>
      <c r="F180" s="32">
        <f>IFERROR(INDEX('Channel Performance'!$J$7:$J$15,MATCH(C180,'Channel Performance'!$A$7:$A$15,0)),"No data — pure prior")</f>
        <v/>
      </c>
      <c r="G180" s="32">
        <f>IFERROR(ROUND(MIN(10,MAX(1,D180*E180)),1),"")</f>
        <v/>
      </c>
      <c r="H180" s="30" t="n"/>
      <c r="I180" s="30" t="n"/>
      <c r="J180" s="30" t="n"/>
      <c r="K180" s="33" t="n"/>
      <c r="M180" s="33" t="n"/>
      <c r="O180" s="34" t="n"/>
      <c r="R180" s="34" t="n"/>
    </row>
    <row r="181">
      <c r="D181" s="30" t="n"/>
      <c r="E181" s="31">
        <f>IFERROR(INDEX('Channel Performance'!$H$7:$H$15,MATCH(C181,'Channel Performance'!$A$7:$A$15,0)),1)</f>
        <v/>
      </c>
      <c r="F181" s="32">
        <f>IFERROR(INDEX('Channel Performance'!$J$7:$J$15,MATCH(C181,'Channel Performance'!$A$7:$A$15,0)),"No data — pure prior")</f>
        <v/>
      </c>
      <c r="G181" s="32">
        <f>IFERROR(ROUND(MIN(10,MAX(1,D181*E181)),1),"")</f>
        <v/>
      </c>
      <c r="H181" s="30" t="n"/>
      <c r="I181" s="30" t="n"/>
      <c r="J181" s="30" t="n"/>
      <c r="K181" s="33" t="n"/>
      <c r="M181" s="33" t="n"/>
      <c r="O181" s="34" t="n"/>
      <c r="R181" s="34" t="n"/>
    </row>
    <row r="182">
      <c r="D182" s="30" t="n"/>
      <c r="E182" s="31">
        <f>IFERROR(INDEX('Channel Performance'!$H$7:$H$15,MATCH(C182,'Channel Performance'!$A$7:$A$15,0)),1)</f>
        <v/>
      </c>
      <c r="F182" s="32">
        <f>IFERROR(INDEX('Channel Performance'!$J$7:$J$15,MATCH(C182,'Channel Performance'!$A$7:$A$15,0)),"No data — pure prior")</f>
        <v/>
      </c>
      <c r="G182" s="32">
        <f>IFERROR(ROUND(MIN(10,MAX(1,D182*E182)),1),"")</f>
        <v/>
      </c>
      <c r="H182" s="30" t="n"/>
      <c r="I182" s="30" t="n"/>
      <c r="J182" s="30" t="n"/>
      <c r="K182" s="33" t="n"/>
      <c r="M182" s="33" t="n"/>
      <c r="O182" s="34" t="n"/>
      <c r="R182" s="34" t="n"/>
    </row>
    <row r="183">
      <c r="D183" s="30" t="n"/>
      <c r="E183" s="31">
        <f>IFERROR(INDEX('Channel Performance'!$H$7:$H$15,MATCH(C183,'Channel Performance'!$A$7:$A$15,0)),1)</f>
        <v/>
      </c>
      <c r="F183" s="32">
        <f>IFERROR(INDEX('Channel Performance'!$J$7:$J$15,MATCH(C183,'Channel Performance'!$A$7:$A$15,0)),"No data — pure prior")</f>
        <v/>
      </c>
      <c r="G183" s="32">
        <f>IFERROR(ROUND(MIN(10,MAX(1,D183*E183)),1),"")</f>
        <v/>
      </c>
      <c r="H183" s="30" t="n"/>
      <c r="I183" s="30" t="n"/>
      <c r="J183" s="30" t="n"/>
      <c r="K183" s="33" t="n"/>
      <c r="M183" s="33" t="n"/>
      <c r="O183" s="34" t="n"/>
      <c r="R183" s="34" t="n"/>
    </row>
    <row r="184">
      <c r="D184" s="30" t="n"/>
      <c r="E184" s="31">
        <f>IFERROR(INDEX('Channel Performance'!$H$7:$H$15,MATCH(C184,'Channel Performance'!$A$7:$A$15,0)),1)</f>
        <v/>
      </c>
      <c r="F184" s="32">
        <f>IFERROR(INDEX('Channel Performance'!$J$7:$J$15,MATCH(C184,'Channel Performance'!$A$7:$A$15,0)),"No data — pure prior")</f>
        <v/>
      </c>
      <c r="G184" s="32">
        <f>IFERROR(ROUND(MIN(10,MAX(1,D184*E184)),1),"")</f>
        <v/>
      </c>
      <c r="H184" s="30" t="n"/>
      <c r="I184" s="30" t="n"/>
      <c r="J184" s="30" t="n"/>
      <c r="K184" s="33" t="n"/>
      <c r="M184" s="33" t="n"/>
      <c r="O184" s="34" t="n"/>
      <c r="R184" s="34" t="n"/>
    </row>
    <row r="185">
      <c r="D185" s="30" t="n"/>
      <c r="E185" s="31">
        <f>IFERROR(INDEX('Channel Performance'!$H$7:$H$15,MATCH(C185,'Channel Performance'!$A$7:$A$15,0)),1)</f>
        <v/>
      </c>
      <c r="F185" s="32">
        <f>IFERROR(INDEX('Channel Performance'!$J$7:$J$15,MATCH(C185,'Channel Performance'!$A$7:$A$15,0)),"No data — pure prior")</f>
        <v/>
      </c>
      <c r="G185" s="32">
        <f>IFERROR(ROUND(MIN(10,MAX(1,D185*E185)),1),"")</f>
        <v/>
      </c>
      <c r="H185" s="30" t="n"/>
      <c r="I185" s="30" t="n"/>
      <c r="J185" s="30" t="n"/>
      <c r="K185" s="33" t="n"/>
      <c r="M185" s="33" t="n"/>
      <c r="O185" s="34" t="n"/>
      <c r="R185" s="34" t="n"/>
    </row>
    <row r="186">
      <c r="D186" s="30" t="n"/>
      <c r="E186" s="31">
        <f>IFERROR(INDEX('Channel Performance'!$H$7:$H$15,MATCH(C186,'Channel Performance'!$A$7:$A$15,0)),1)</f>
        <v/>
      </c>
      <c r="F186" s="32">
        <f>IFERROR(INDEX('Channel Performance'!$J$7:$J$15,MATCH(C186,'Channel Performance'!$A$7:$A$15,0)),"No data — pure prior")</f>
        <v/>
      </c>
      <c r="G186" s="32">
        <f>IFERROR(ROUND(MIN(10,MAX(1,D186*E186)),1),"")</f>
        <v/>
      </c>
      <c r="H186" s="30" t="n"/>
      <c r="I186" s="30" t="n"/>
      <c r="J186" s="30" t="n"/>
      <c r="K186" s="33" t="n"/>
      <c r="M186" s="33" t="n"/>
      <c r="O186" s="34" t="n"/>
      <c r="R186" s="34" t="n"/>
    </row>
    <row r="187">
      <c r="D187" s="30" t="n"/>
      <c r="E187" s="31">
        <f>IFERROR(INDEX('Channel Performance'!$H$7:$H$15,MATCH(C187,'Channel Performance'!$A$7:$A$15,0)),1)</f>
        <v/>
      </c>
      <c r="F187" s="32">
        <f>IFERROR(INDEX('Channel Performance'!$J$7:$J$15,MATCH(C187,'Channel Performance'!$A$7:$A$15,0)),"No data — pure prior")</f>
        <v/>
      </c>
      <c r="G187" s="32">
        <f>IFERROR(ROUND(MIN(10,MAX(1,D187*E187)),1),"")</f>
        <v/>
      </c>
      <c r="H187" s="30" t="n"/>
      <c r="I187" s="30" t="n"/>
      <c r="J187" s="30" t="n"/>
      <c r="K187" s="33" t="n"/>
      <c r="M187" s="33" t="n"/>
      <c r="O187" s="34" t="n"/>
      <c r="R187" s="34" t="n"/>
    </row>
    <row r="188">
      <c r="D188" s="30" t="n"/>
      <c r="E188" s="31">
        <f>IFERROR(INDEX('Channel Performance'!$H$7:$H$15,MATCH(C188,'Channel Performance'!$A$7:$A$15,0)),1)</f>
        <v/>
      </c>
      <c r="F188" s="32">
        <f>IFERROR(INDEX('Channel Performance'!$J$7:$J$15,MATCH(C188,'Channel Performance'!$A$7:$A$15,0)),"No data — pure prior")</f>
        <v/>
      </c>
      <c r="G188" s="32">
        <f>IFERROR(ROUND(MIN(10,MAX(1,D188*E188)),1),"")</f>
        <v/>
      </c>
      <c r="H188" s="30" t="n"/>
      <c r="I188" s="30" t="n"/>
      <c r="J188" s="30" t="n"/>
      <c r="K188" s="33" t="n"/>
      <c r="M188" s="33" t="n"/>
      <c r="O188" s="34" t="n"/>
      <c r="R188" s="34" t="n"/>
    </row>
    <row r="189">
      <c r="D189" s="30" t="n"/>
      <c r="E189" s="31">
        <f>IFERROR(INDEX('Channel Performance'!$H$7:$H$15,MATCH(C189,'Channel Performance'!$A$7:$A$15,0)),1)</f>
        <v/>
      </c>
      <c r="F189" s="32">
        <f>IFERROR(INDEX('Channel Performance'!$J$7:$J$15,MATCH(C189,'Channel Performance'!$A$7:$A$15,0)),"No data — pure prior")</f>
        <v/>
      </c>
      <c r="G189" s="32">
        <f>IFERROR(ROUND(MIN(10,MAX(1,D189*E189)),1),"")</f>
        <v/>
      </c>
      <c r="H189" s="30" t="n"/>
      <c r="I189" s="30" t="n"/>
      <c r="J189" s="30" t="n"/>
      <c r="K189" s="33" t="n"/>
      <c r="M189" s="33" t="n"/>
      <c r="O189" s="34" t="n"/>
      <c r="R189" s="34" t="n"/>
    </row>
    <row r="190">
      <c r="D190" s="30" t="n"/>
      <c r="E190" s="31">
        <f>IFERROR(INDEX('Channel Performance'!$H$7:$H$15,MATCH(C190,'Channel Performance'!$A$7:$A$15,0)),1)</f>
        <v/>
      </c>
      <c r="F190" s="32">
        <f>IFERROR(INDEX('Channel Performance'!$J$7:$J$15,MATCH(C190,'Channel Performance'!$A$7:$A$15,0)),"No data — pure prior")</f>
        <v/>
      </c>
      <c r="G190" s="32">
        <f>IFERROR(ROUND(MIN(10,MAX(1,D190*E190)),1),"")</f>
        <v/>
      </c>
      <c r="H190" s="30" t="n"/>
      <c r="I190" s="30" t="n"/>
      <c r="J190" s="30" t="n"/>
      <c r="K190" s="33" t="n"/>
      <c r="M190" s="33" t="n"/>
      <c r="O190" s="34" t="n"/>
      <c r="R190" s="34" t="n"/>
    </row>
    <row r="191">
      <c r="D191" s="30" t="n"/>
      <c r="E191" s="31">
        <f>IFERROR(INDEX('Channel Performance'!$H$7:$H$15,MATCH(C191,'Channel Performance'!$A$7:$A$15,0)),1)</f>
        <v/>
      </c>
      <c r="F191" s="32">
        <f>IFERROR(INDEX('Channel Performance'!$J$7:$J$15,MATCH(C191,'Channel Performance'!$A$7:$A$15,0)),"No data — pure prior")</f>
        <v/>
      </c>
      <c r="G191" s="32">
        <f>IFERROR(ROUND(MIN(10,MAX(1,D191*E191)),1),"")</f>
        <v/>
      </c>
      <c r="H191" s="30" t="n"/>
      <c r="I191" s="30" t="n"/>
      <c r="J191" s="30" t="n"/>
      <c r="K191" s="33" t="n"/>
      <c r="M191" s="33" t="n"/>
      <c r="O191" s="34" t="n"/>
      <c r="R191" s="34" t="n"/>
    </row>
    <row r="192">
      <c r="D192" s="30" t="n"/>
      <c r="E192" s="31">
        <f>IFERROR(INDEX('Channel Performance'!$H$7:$H$15,MATCH(C192,'Channel Performance'!$A$7:$A$15,0)),1)</f>
        <v/>
      </c>
      <c r="F192" s="32">
        <f>IFERROR(INDEX('Channel Performance'!$J$7:$J$15,MATCH(C192,'Channel Performance'!$A$7:$A$15,0)),"No data — pure prior")</f>
        <v/>
      </c>
      <c r="G192" s="32">
        <f>IFERROR(ROUND(MIN(10,MAX(1,D192*E192)),1),"")</f>
        <v/>
      </c>
      <c r="H192" s="30" t="n"/>
      <c r="I192" s="30" t="n"/>
      <c r="J192" s="30" t="n"/>
      <c r="K192" s="33" t="n"/>
      <c r="M192" s="33" t="n"/>
      <c r="O192" s="34" t="n"/>
      <c r="R192" s="34" t="n"/>
    </row>
    <row r="193">
      <c r="D193" s="30" t="n"/>
      <c r="E193" s="31">
        <f>IFERROR(INDEX('Channel Performance'!$H$7:$H$15,MATCH(C193,'Channel Performance'!$A$7:$A$15,0)),1)</f>
        <v/>
      </c>
      <c r="F193" s="32">
        <f>IFERROR(INDEX('Channel Performance'!$J$7:$J$15,MATCH(C193,'Channel Performance'!$A$7:$A$15,0)),"No data — pure prior")</f>
        <v/>
      </c>
      <c r="G193" s="32">
        <f>IFERROR(ROUND(MIN(10,MAX(1,D193*E193)),1),"")</f>
        <v/>
      </c>
      <c r="H193" s="30" t="n"/>
      <c r="I193" s="30" t="n"/>
      <c r="J193" s="30" t="n"/>
      <c r="K193" s="33" t="n"/>
      <c r="M193" s="33" t="n"/>
      <c r="O193" s="34" t="n"/>
      <c r="R193" s="34" t="n"/>
    </row>
    <row r="194">
      <c r="D194" s="30" t="n"/>
      <c r="E194" s="31">
        <f>IFERROR(INDEX('Channel Performance'!$H$7:$H$15,MATCH(C194,'Channel Performance'!$A$7:$A$15,0)),1)</f>
        <v/>
      </c>
      <c r="F194" s="32">
        <f>IFERROR(INDEX('Channel Performance'!$J$7:$J$15,MATCH(C194,'Channel Performance'!$A$7:$A$15,0)),"No data — pure prior")</f>
        <v/>
      </c>
      <c r="G194" s="32">
        <f>IFERROR(ROUND(MIN(10,MAX(1,D194*E194)),1),"")</f>
        <v/>
      </c>
      <c r="H194" s="30" t="n"/>
      <c r="I194" s="30" t="n"/>
      <c r="J194" s="30" t="n"/>
      <c r="K194" s="33" t="n"/>
      <c r="M194" s="33" t="n"/>
      <c r="O194" s="34" t="n"/>
      <c r="R194" s="34" t="n"/>
    </row>
    <row r="195">
      <c r="D195" s="30" t="n"/>
      <c r="E195" s="31">
        <f>IFERROR(INDEX('Channel Performance'!$H$7:$H$15,MATCH(C195,'Channel Performance'!$A$7:$A$15,0)),1)</f>
        <v/>
      </c>
      <c r="F195" s="32">
        <f>IFERROR(INDEX('Channel Performance'!$J$7:$J$15,MATCH(C195,'Channel Performance'!$A$7:$A$15,0)),"No data — pure prior")</f>
        <v/>
      </c>
      <c r="G195" s="32">
        <f>IFERROR(ROUND(MIN(10,MAX(1,D195*E195)),1),"")</f>
        <v/>
      </c>
      <c r="H195" s="30" t="n"/>
      <c r="I195" s="30" t="n"/>
      <c r="J195" s="30" t="n"/>
      <c r="K195" s="33" t="n"/>
      <c r="M195" s="33" t="n"/>
      <c r="O195" s="34" t="n"/>
      <c r="R195" s="34" t="n"/>
    </row>
    <row r="196">
      <c r="D196" s="30" t="n"/>
      <c r="E196" s="31">
        <f>IFERROR(INDEX('Channel Performance'!$H$7:$H$15,MATCH(C196,'Channel Performance'!$A$7:$A$15,0)),1)</f>
        <v/>
      </c>
      <c r="F196" s="32">
        <f>IFERROR(INDEX('Channel Performance'!$J$7:$J$15,MATCH(C196,'Channel Performance'!$A$7:$A$15,0)),"No data — pure prior")</f>
        <v/>
      </c>
      <c r="G196" s="32">
        <f>IFERROR(ROUND(MIN(10,MAX(1,D196*E196)),1),"")</f>
        <v/>
      </c>
      <c r="H196" s="30" t="n"/>
      <c r="I196" s="30" t="n"/>
      <c r="J196" s="30" t="n"/>
      <c r="K196" s="33" t="n"/>
      <c r="M196" s="33" t="n"/>
      <c r="O196" s="34" t="n"/>
      <c r="R196" s="34" t="n"/>
    </row>
    <row r="197">
      <c r="D197" s="30" t="n"/>
      <c r="E197" s="31">
        <f>IFERROR(INDEX('Channel Performance'!$H$7:$H$15,MATCH(C197,'Channel Performance'!$A$7:$A$15,0)),1)</f>
        <v/>
      </c>
      <c r="F197" s="32">
        <f>IFERROR(INDEX('Channel Performance'!$J$7:$J$15,MATCH(C197,'Channel Performance'!$A$7:$A$15,0)),"No data — pure prior")</f>
        <v/>
      </c>
      <c r="G197" s="32">
        <f>IFERROR(ROUND(MIN(10,MAX(1,D197*E197)),1),"")</f>
        <v/>
      </c>
      <c r="H197" s="30" t="n"/>
      <c r="I197" s="30" t="n"/>
      <c r="J197" s="30" t="n"/>
      <c r="K197" s="33" t="n"/>
      <c r="M197" s="33" t="n"/>
      <c r="O197" s="34" t="n"/>
      <c r="R197" s="34" t="n"/>
    </row>
    <row r="198">
      <c r="D198" s="30" t="n"/>
      <c r="E198" s="31">
        <f>IFERROR(INDEX('Channel Performance'!$H$7:$H$15,MATCH(C198,'Channel Performance'!$A$7:$A$15,0)),1)</f>
        <v/>
      </c>
      <c r="F198" s="32">
        <f>IFERROR(INDEX('Channel Performance'!$J$7:$J$15,MATCH(C198,'Channel Performance'!$A$7:$A$15,0)),"No data — pure prior")</f>
        <v/>
      </c>
      <c r="G198" s="32">
        <f>IFERROR(ROUND(MIN(10,MAX(1,D198*E198)),1),"")</f>
        <v/>
      </c>
      <c r="H198" s="30" t="n"/>
      <c r="I198" s="30" t="n"/>
      <c r="J198" s="30" t="n"/>
      <c r="K198" s="33" t="n"/>
      <c r="M198" s="33" t="n"/>
      <c r="O198" s="34" t="n"/>
      <c r="R198" s="34" t="n"/>
    </row>
    <row r="199">
      <c r="D199" s="30" t="n"/>
      <c r="E199" s="31">
        <f>IFERROR(INDEX('Channel Performance'!$H$7:$H$15,MATCH(C199,'Channel Performance'!$A$7:$A$15,0)),1)</f>
        <v/>
      </c>
      <c r="F199" s="32">
        <f>IFERROR(INDEX('Channel Performance'!$J$7:$J$15,MATCH(C199,'Channel Performance'!$A$7:$A$15,0)),"No data — pure prior")</f>
        <v/>
      </c>
      <c r="G199" s="32">
        <f>IFERROR(ROUND(MIN(10,MAX(1,D199*E199)),1),"")</f>
        <v/>
      </c>
      <c r="H199" s="30" t="n"/>
      <c r="I199" s="30" t="n"/>
      <c r="J199" s="30" t="n"/>
      <c r="K199" s="33" t="n"/>
      <c r="M199" s="33" t="n"/>
      <c r="O199" s="34" t="n"/>
      <c r="R199" s="34" t="n"/>
    </row>
    <row r="200">
      <c r="D200" s="30" t="n"/>
      <c r="E200" s="31">
        <f>IFERROR(INDEX('Channel Performance'!$H$7:$H$15,MATCH(C200,'Channel Performance'!$A$7:$A$15,0)),1)</f>
        <v/>
      </c>
      <c r="F200" s="32">
        <f>IFERROR(INDEX('Channel Performance'!$J$7:$J$15,MATCH(C200,'Channel Performance'!$A$7:$A$15,0)),"No data — pure prior")</f>
        <v/>
      </c>
      <c r="G200" s="32">
        <f>IFERROR(ROUND(MIN(10,MAX(1,D200*E200)),1),"")</f>
        <v/>
      </c>
      <c r="H200" s="30" t="n"/>
      <c r="I200" s="30" t="n"/>
      <c r="J200" s="30" t="n"/>
      <c r="K200" s="33" t="n"/>
      <c r="M200" s="33" t="n"/>
      <c r="O200" s="34" t="n"/>
      <c r="R200" s="34" t="n"/>
    </row>
    <row r="201">
      <c r="D201" s="30" t="n"/>
      <c r="E201" s="31">
        <f>IFERROR(INDEX('Channel Performance'!$H$7:$H$15,MATCH(C201,'Channel Performance'!$A$7:$A$15,0)),1)</f>
        <v/>
      </c>
      <c r="F201" s="32">
        <f>IFERROR(INDEX('Channel Performance'!$J$7:$J$15,MATCH(C201,'Channel Performance'!$A$7:$A$15,0)),"No data — pure prior")</f>
        <v/>
      </c>
      <c r="G201" s="32">
        <f>IFERROR(ROUND(MIN(10,MAX(1,D201*E201)),1),"")</f>
        <v/>
      </c>
      <c r="H201" s="30" t="n"/>
      <c r="I201" s="30" t="n"/>
      <c r="J201" s="30" t="n"/>
      <c r="K201" s="33" t="n"/>
      <c r="M201" s="33" t="n"/>
      <c r="O201" s="34" t="n"/>
      <c r="R201" s="34" t="n"/>
    </row>
    <row r="202">
      <c r="D202" s="30" t="n"/>
      <c r="E202" s="31">
        <f>IFERROR(INDEX('Channel Performance'!$H$7:$H$15,MATCH(C202,'Channel Performance'!$A$7:$A$15,0)),1)</f>
        <v/>
      </c>
      <c r="F202" s="32">
        <f>IFERROR(INDEX('Channel Performance'!$J$7:$J$15,MATCH(C202,'Channel Performance'!$A$7:$A$15,0)),"No data — pure prior")</f>
        <v/>
      </c>
      <c r="G202" s="32">
        <f>IFERROR(ROUND(MIN(10,MAX(1,D202*E202)),1),"")</f>
        <v/>
      </c>
      <c r="H202" s="30" t="n"/>
      <c r="I202" s="30" t="n"/>
      <c r="J202" s="30" t="n"/>
      <c r="K202" s="33" t="n"/>
      <c r="M202" s="33" t="n"/>
      <c r="O202" s="34" t="n"/>
      <c r="R202" s="34" t="n"/>
    </row>
    <row r="203">
      <c r="D203" s="30" t="n"/>
      <c r="E203" s="31">
        <f>IFERROR(INDEX('Channel Performance'!$H$7:$H$15,MATCH(C203,'Channel Performance'!$A$7:$A$15,0)),1)</f>
        <v/>
      </c>
      <c r="F203" s="32">
        <f>IFERROR(INDEX('Channel Performance'!$J$7:$J$15,MATCH(C203,'Channel Performance'!$A$7:$A$15,0)),"No data — pure prior")</f>
        <v/>
      </c>
      <c r="G203" s="32">
        <f>IFERROR(ROUND(MIN(10,MAX(1,D203*E203)),1),"")</f>
        <v/>
      </c>
      <c r="H203" s="30" t="n"/>
      <c r="I203" s="30" t="n"/>
      <c r="J203" s="30" t="n"/>
      <c r="K203" s="33" t="n"/>
      <c r="M203" s="33" t="n"/>
      <c r="O203" s="34" t="n"/>
      <c r="R203" s="34" t="n"/>
    </row>
    <row r="204">
      <c r="D204" s="30" t="n"/>
      <c r="E204" s="31">
        <f>IFERROR(INDEX('Channel Performance'!$H$7:$H$15,MATCH(C204,'Channel Performance'!$A$7:$A$15,0)),1)</f>
        <v/>
      </c>
      <c r="F204" s="32">
        <f>IFERROR(INDEX('Channel Performance'!$J$7:$J$15,MATCH(C204,'Channel Performance'!$A$7:$A$15,0)),"No data — pure prior")</f>
        <v/>
      </c>
      <c r="G204" s="32">
        <f>IFERROR(ROUND(MIN(10,MAX(1,D204*E204)),1),"")</f>
        <v/>
      </c>
      <c r="H204" s="30" t="n"/>
      <c r="I204" s="30" t="n"/>
      <c r="J204" s="30" t="n"/>
      <c r="K204" s="33" t="n"/>
      <c r="M204" s="33" t="n"/>
      <c r="O204" s="34" t="n"/>
      <c r="R204" s="34" t="n"/>
    </row>
    <row r="205">
      <c r="D205" s="30" t="n"/>
      <c r="E205" s="31">
        <f>IFERROR(INDEX('Channel Performance'!$H$7:$H$15,MATCH(C205,'Channel Performance'!$A$7:$A$15,0)),1)</f>
        <v/>
      </c>
      <c r="F205" s="32">
        <f>IFERROR(INDEX('Channel Performance'!$J$7:$J$15,MATCH(C205,'Channel Performance'!$A$7:$A$15,0)),"No data — pure prior")</f>
        <v/>
      </c>
      <c r="G205" s="32">
        <f>IFERROR(ROUND(MIN(10,MAX(1,D205*E205)),1),"")</f>
        <v/>
      </c>
      <c r="H205" s="30" t="n"/>
      <c r="I205" s="30" t="n"/>
      <c r="J205" s="30" t="n"/>
      <c r="K205" s="33" t="n"/>
      <c r="M205" s="33" t="n"/>
      <c r="O205" s="34" t="n"/>
      <c r="R205" s="34" t="n"/>
    </row>
    <row r="206">
      <c r="D206" s="30" t="n"/>
      <c r="E206" s="31">
        <f>IFERROR(INDEX('Channel Performance'!$H$7:$H$15,MATCH(C206,'Channel Performance'!$A$7:$A$15,0)),1)</f>
        <v/>
      </c>
      <c r="F206" s="32">
        <f>IFERROR(INDEX('Channel Performance'!$J$7:$J$15,MATCH(C206,'Channel Performance'!$A$7:$A$15,0)),"No data — pure prior")</f>
        <v/>
      </c>
      <c r="G206" s="32">
        <f>IFERROR(ROUND(MIN(10,MAX(1,D206*E206)),1),"")</f>
        <v/>
      </c>
      <c r="H206" s="30" t="n"/>
      <c r="I206" s="30" t="n"/>
      <c r="J206" s="30" t="n"/>
      <c r="K206" s="33" t="n"/>
      <c r="M206" s="33" t="n"/>
      <c r="O206" s="34" t="n"/>
      <c r="R206" s="34" t="n"/>
    </row>
    <row r="207">
      <c r="D207" s="30" t="n"/>
      <c r="E207" s="31">
        <f>IFERROR(INDEX('Channel Performance'!$H$7:$H$15,MATCH(C207,'Channel Performance'!$A$7:$A$15,0)),1)</f>
        <v/>
      </c>
      <c r="F207" s="32">
        <f>IFERROR(INDEX('Channel Performance'!$J$7:$J$15,MATCH(C207,'Channel Performance'!$A$7:$A$15,0)),"No data — pure prior")</f>
        <v/>
      </c>
      <c r="G207" s="32">
        <f>IFERROR(ROUND(MIN(10,MAX(1,D207*E207)),1),"")</f>
        <v/>
      </c>
      <c r="H207" s="30" t="n"/>
      <c r="I207" s="30" t="n"/>
      <c r="J207" s="30" t="n"/>
      <c r="K207" s="33" t="n"/>
      <c r="M207" s="33" t="n"/>
      <c r="O207" s="34" t="n"/>
      <c r="R207" s="34" t="n"/>
    </row>
    <row r="208">
      <c r="D208" s="30" t="n"/>
      <c r="E208" s="31">
        <f>IFERROR(INDEX('Channel Performance'!$H$7:$H$15,MATCH(C208,'Channel Performance'!$A$7:$A$15,0)),1)</f>
        <v/>
      </c>
      <c r="F208" s="32">
        <f>IFERROR(INDEX('Channel Performance'!$J$7:$J$15,MATCH(C208,'Channel Performance'!$A$7:$A$15,0)),"No data — pure prior")</f>
        <v/>
      </c>
      <c r="G208" s="32">
        <f>IFERROR(ROUND(MIN(10,MAX(1,D208*E208)),1),"")</f>
        <v/>
      </c>
      <c r="H208" s="30" t="n"/>
      <c r="I208" s="30" t="n"/>
      <c r="J208" s="30" t="n"/>
      <c r="K208" s="33" t="n"/>
      <c r="M208" s="33" t="n"/>
      <c r="O208" s="34" t="n"/>
      <c r="R208" s="34" t="n"/>
    </row>
    <row r="209">
      <c r="D209" s="30" t="n"/>
      <c r="E209" s="31">
        <f>IFERROR(INDEX('Channel Performance'!$H$7:$H$15,MATCH(C209,'Channel Performance'!$A$7:$A$15,0)),1)</f>
        <v/>
      </c>
      <c r="F209" s="32">
        <f>IFERROR(INDEX('Channel Performance'!$J$7:$J$15,MATCH(C209,'Channel Performance'!$A$7:$A$15,0)),"No data — pure prior")</f>
        <v/>
      </c>
      <c r="G209" s="32">
        <f>IFERROR(ROUND(MIN(10,MAX(1,D209*E209)),1),"")</f>
        <v/>
      </c>
      <c r="H209" s="30" t="n"/>
      <c r="I209" s="30" t="n"/>
      <c r="J209" s="30" t="n"/>
      <c r="K209" s="33" t="n"/>
      <c r="M209" s="33" t="n"/>
      <c r="O209" s="34" t="n"/>
      <c r="R209" s="34" t="n"/>
    </row>
    <row r="210">
      <c r="D210" s="30" t="n"/>
      <c r="E210" s="31">
        <f>IFERROR(INDEX('Channel Performance'!$H$7:$H$15,MATCH(C210,'Channel Performance'!$A$7:$A$15,0)),1)</f>
        <v/>
      </c>
      <c r="F210" s="32">
        <f>IFERROR(INDEX('Channel Performance'!$J$7:$J$15,MATCH(C210,'Channel Performance'!$A$7:$A$15,0)),"No data — pure prior")</f>
        <v/>
      </c>
      <c r="G210" s="32">
        <f>IFERROR(ROUND(MIN(10,MAX(1,D210*E210)),1),"")</f>
        <v/>
      </c>
      <c r="H210" s="30" t="n"/>
      <c r="I210" s="30" t="n"/>
      <c r="J210" s="30" t="n"/>
      <c r="K210" s="33" t="n"/>
      <c r="M210" s="33" t="n"/>
      <c r="O210" s="34" t="n"/>
      <c r="R210" s="34" t="n"/>
    </row>
    <row r="211">
      <c r="D211" s="30" t="n"/>
      <c r="E211" s="31">
        <f>IFERROR(INDEX('Channel Performance'!$H$7:$H$15,MATCH(C211,'Channel Performance'!$A$7:$A$15,0)),1)</f>
        <v/>
      </c>
      <c r="F211" s="32">
        <f>IFERROR(INDEX('Channel Performance'!$J$7:$J$15,MATCH(C211,'Channel Performance'!$A$7:$A$15,0)),"No data — pure prior")</f>
        <v/>
      </c>
      <c r="G211" s="32">
        <f>IFERROR(ROUND(MIN(10,MAX(1,D211*E211)),1),"")</f>
        <v/>
      </c>
      <c r="H211" s="30" t="n"/>
      <c r="I211" s="30" t="n"/>
      <c r="J211" s="30" t="n"/>
      <c r="K211" s="33" t="n"/>
      <c r="M211" s="33" t="n"/>
      <c r="O211" s="34" t="n"/>
      <c r="R211" s="34" t="n"/>
    </row>
    <row r="212">
      <c r="D212" s="30" t="n"/>
      <c r="E212" s="31">
        <f>IFERROR(INDEX('Channel Performance'!$H$7:$H$15,MATCH(C212,'Channel Performance'!$A$7:$A$15,0)),1)</f>
        <v/>
      </c>
      <c r="F212" s="32">
        <f>IFERROR(INDEX('Channel Performance'!$J$7:$J$15,MATCH(C212,'Channel Performance'!$A$7:$A$15,0)),"No data — pure prior")</f>
        <v/>
      </c>
      <c r="G212" s="32">
        <f>IFERROR(ROUND(MIN(10,MAX(1,D212*E212)),1),"")</f>
        <v/>
      </c>
      <c r="H212" s="30" t="n"/>
      <c r="I212" s="30" t="n"/>
      <c r="J212" s="30" t="n"/>
      <c r="K212" s="33" t="n"/>
      <c r="M212" s="33" t="n"/>
      <c r="O212" s="34" t="n"/>
      <c r="R212" s="34" t="n"/>
    </row>
    <row r="213">
      <c r="D213" s="30" t="n"/>
      <c r="E213" s="31">
        <f>IFERROR(INDEX('Channel Performance'!$H$7:$H$15,MATCH(C213,'Channel Performance'!$A$7:$A$15,0)),1)</f>
        <v/>
      </c>
      <c r="F213" s="32">
        <f>IFERROR(INDEX('Channel Performance'!$J$7:$J$15,MATCH(C213,'Channel Performance'!$A$7:$A$15,0)),"No data — pure prior")</f>
        <v/>
      </c>
      <c r="G213" s="32">
        <f>IFERROR(ROUND(MIN(10,MAX(1,D213*E213)),1),"")</f>
        <v/>
      </c>
      <c r="H213" s="30" t="n"/>
      <c r="I213" s="30" t="n"/>
      <c r="J213" s="30" t="n"/>
      <c r="K213" s="33" t="n"/>
      <c r="M213" s="33" t="n"/>
      <c r="O213" s="34" t="n"/>
      <c r="R213" s="34" t="n"/>
    </row>
    <row r="214">
      <c r="D214" s="30" t="n"/>
      <c r="E214" s="31">
        <f>IFERROR(INDEX('Channel Performance'!$H$7:$H$15,MATCH(C214,'Channel Performance'!$A$7:$A$15,0)),1)</f>
        <v/>
      </c>
      <c r="F214" s="32">
        <f>IFERROR(INDEX('Channel Performance'!$J$7:$J$15,MATCH(C214,'Channel Performance'!$A$7:$A$15,0)),"No data — pure prior")</f>
        <v/>
      </c>
      <c r="G214" s="32">
        <f>IFERROR(ROUND(MIN(10,MAX(1,D214*E214)),1),"")</f>
        <v/>
      </c>
      <c r="H214" s="30" t="n"/>
      <c r="I214" s="30" t="n"/>
      <c r="J214" s="30" t="n"/>
      <c r="K214" s="33" t="n"/>
      <c r="M214" s="33" t="n"/>
      <c r="O214" s="34" t="n"/>
      <c r="R214" s="34" t="n"/>
    </row>
    <row r="215">
      <c r="D215" s="30" t="n"/>
      <c r="E215" s="31">
        <f>IFERROR(INDEX('Channel Performance'!$H$7:$H$15,MATCH(C215,'Channel Performance'!$A$7:$A$15,0)),1)</f>
        <v/>
      </c>
      <c r="F215" s="32">
        <f>IFERROR(INDEX('Channel Performance'!$J$7:$J$15,MATCH(C215,'Channel Performance'!$A$7:$A$15,0)),"No data — pure prior")</f>
        <v/>
      </c>
      <c r="G215" s="32">
        <f>IFERROR(ROUND(MIN(10,MAX(1,D215*E215)),1),"")</f>
        <v/>
      </c>
      <c r="H215" s="30" t="n"/>
      <c r="I215" s="30" t="n"/>
      <c r="J215" s="30" t="n"/>
      <c r="K215" s="33" t="n"/>
      <c r="M215" s="33" t="n"/>
      <c r="O215" s="34" t="n"/>
      <c r="R215" s="34" t="n"/>
    </row>
    <row r="216">
      <c r="D216" s="30" t="n"/>
      <c r="E216" s="31">
        <f>IFERROR(INDEX('Channel Performance'!$H$7:$H$15,MATCH(C216,'Channel Performance'!$A$7:$A$15,0)),1)</f>
        <v/>
      </c>
      <c r="F216" s="32">
        <f>IFERROR(INDEX('Channel Performance'!$J$7:$J$15,MATCH(C216,'Channel Performance'!$A$7:$A$15,0)),"No data — pure prior")</f>
        <v/>
      </c>
      <c r="G216" s="32">
        <f>IFERROR(ROUND(MIN(10,MAX(1,D216*E216)),1),"")</f>
        <v/>
      </c>
      <c r="H216" s="30" t="n"/>
      <c r="I216" s="30" t="n"/>
      <c r="J216" s="30" t="n"/>
      <c r="K216" s="33" t="n"/>
      <c r="M216" s="33" t="n"/>
      <c r="O216" s="34" t="n"/>
      <c r="R216" s="34" t="n"/>
    </row>
    <row r="217">
      <c r="D217" s="30" t="n"/>
      <c r="E217" s="31">
        <f>IFERROR(INDEX('Channel Performance'!$H$7:$H$15,MATCH(C217,'Channel Performance'!$A$7:$A$15,0)),1)</f>
        <v/>
      </c>
      <c r="F217" s="32">
        <f>IFERROR(INDEX('Channel Performance'!$J$7:$J$15,MATCH(C217,'Channel Performance'!$A$7:$A$15,0)),"No data — pure prior")</f>
        <v/>
      </c>
      <c r="G217" s="32">
        <f>IFERROR(ROUND(MIN(10,MAX(1,D217*E217)),1),"")</f>
        <v/>
      </c>
      <c r="H217" s="30" t="n"/>
      <c r="I217" s="30" t="n"/>
      <c r="J217" s="30" t="n"/>
      <c r="K217" s="33" t="n"/>
      <c r="M217" s="33" t="n"/>
      <c r="O217" s="34" t="n"/>
      <c r="R217" s="34" t="n"/>
    </row>
    <row r="218">
      <c r="D218" s="30" t="n"/>
      <c r="E218" s="31">
        <f>IFERROR(INDEX('Channel Performance'!$H$7:$H$15,MATCH(C218,'Channel Performance'!$A$7:$A$15,0)),1)</f>
        <v/>
      </c>
      <c r="F218" s="32">
        <f>IFERROR(INDEX('Channel Performance'!$J$7:$J$15,MATCH(C218,'Channel Performance'!$A$7:$A$15,0)),"No data — pure prior")</f>
        <v/>
      </c>
      <c r="G218" s="32">
        <f>IFERROR(ROUND(MIN(10,MAX(1,D218*E218)),1),"")</f>
        <v/>
      </c>
      <c r="H218" s="30" t="n"/>
      <c r="I218" s="30" t="n"/>
      <c r="J218" s="30" t="n"/>
      <c r="K218" s="33" t="n"/>
      <c r="M218" s="33" t="n"/>
      <c r="O218" s="34" t="n"/>
      <c r="R218" s="34" t="n"/>
    </row>
    <row r="219">
      <c r="D219" s="30" t="n"/>
      <c r="E219" s="31">
        <f>IFERROR(INDEX('Channel Performance'!$H$7:$H$15,MATCH(C219,'Channel Performance'!$A$7:$A$15,0)),1)</f>
        <v/>
      </c>
      <c r="F219" s="32">
        <f>IFERROR(INDEX('Channel Performance'!$J$7:$J$15,MATCH(C219,'Channel Performance'!$A$7:$A$15,0)),"No data — pure prior")</f>
        <v/>
      </c>
      <c r="G219" s="32">
        <f>IFERROR(ROUND(MIN(10,MAX(1,D219*E219)),1),"")</f>
        <v/>
      </c>
      <c r="H219" s="30" t="n"/>
      <c r="I219" s="30" t="n"/>
      <c r="J219" s="30" t="n"/>
      <c r="K219" s="33" t="n"/>
      <c r="M219" s="33" t="n"/>
      <c r="O219" s="34" t="n"/>
      <c r="R219" s="34" t="n"/>
    </row>
    <row r="220">
      <c r="D220" s="30" t="n"/>
      <c r="E220" s="31">
        <f>IFERROR(INDEX('Channel Performance'!$H$7:$H$15,MATCH(C220,'Channel Performance'!$A$7:$A$15,0)),1)</f>
        <v/>
      </c>
      <c r="F220" s="32">
        <f>IFERROR(INDEX('Channel Performance'!$J$7:$J$15,MATCH(C220,'Channel Performance'!$A$7:$A$15,0)),"No data — pure prior")</f>
        <v/>
      </c>
      <c r="G220" s="32">
        <f>IFERROR(ROUND(MIN(10,MAX(1,D220*E220)),1),"")</f>
        <v/>
      </c>
      <c r="H220" s="30" t="n"/>
      <c r="I220" s="30" t="n"/>
      <c r="J220" s="30" t="n"/>
      <c r="K220" s="33" t="n"/>
      <c r="M220" s="33" t="n"/>
      <c r="O220" s="34" t="n"/>
      <c r="R220" s="34" t="n"/>
    </row>
    <row r="221">
      <c r="D221" s="30" t="n"/>
      <c r="E221" s="31">
        <f>IFERROR(INDEX('Channel Performance'!$H$7:$H$15,MATCH(C221,'Channel Performance'!$A$7:$A$15,0)),1)</f>
        <v/>
      </c>
      <c r="F221" s="32">
        <f>IFERROR(INDEX('Channel Performance'!$J$7:$J$15,MATCH(C221,'Channel Performance'!$A$7:$A$15,0)),"No data — pure prior")</f>
        <v/>
      </c>
      <c r="G221" s="32">
        <f>IFERROR(ROUND(MIN(10,MAX(1,D221*E221)),1),"")</f>
        <v/>
      </c>
      <c r="H221" s="30" t="n"/>
      <c r="I221" s="30" t="n"/>
      <c r="J221" s="30" t="n"/>
      <c r="K221" s="33" t="n"/>
      <c r="M221" s="33" t="n"/>
      <c r="O221" s="34" t="n"/>
      <c r="R221" s="34" t="n"/>
    </row>
    <row r="222">
      <c r="D222" s="30" t="n"/>
      <c r="E222" s="31">
        <f>IFERROR(INDEX('Channel Performance'!$H$7:$H$15,MATCH(C222,'Channel Performance'!$A$7:$A$15,0)),1)</f>
        <v/>
      </c>
      <c r="F222" s="32">
        <f>IFERROR(INDEX('Channel Performance'!$J$7:$J$15,MATCH(C222,'Channel Performance'!$A$7:$A$15,0)),"No data — pure prior")</f>
        <v/>
      </c>
      <c r="G222" s="32">
        <f>IFERROR(ROUND(MIN(10,MAX(1,D222*E222)),1),"")</f>
        <v/>
      </c>
      <c r="H222" s="30" t="n"/>
      <c r="I222" s="30" t="n"/>
      <c r="J222" s="30" t="n"/>
      <c r="K222" s="33" t="n"/>
      <c r="M222" s="33" t="n"/>
      <c r="O222" s="34" t="n"/>
      <c r="R222" s="34" t="n"/>
    </row>
    <row r="223">
      <c r="D223" s="30" t="n"/>
      <c r="E223" s="31">
        <f>IFERROR(INDEX('Channel Performance'!$H$7:$H$15,MATCH(C223,'Channel Performance'!$A$7:$A$15,0)),1)</f>
        <v/>
      </c>
      <c r="F223" s="32">
        <f>IFERROR(INDEX('Channel Performance'!$J$7:$J$15,MATCH(C223,'Channel Performance'!$A$7:$A$15,0)),"No data — pure prior")</f>
        <v/>
      </c>
      <c r="G223" s="32">
        <f>IFERROR(ROUND(MIN(10,MAX(1,D223*E223)),1),"")</f>
        <v/>
      </c>
      <c r="H223" s="30" t="n"/>
      <c r="I223" s="30" t="n"/>
      <c r="J223" s="30" t="n"/>
      <c r="K223" s="33" t="n"/>
      <c r="M223" s="33" t="n"/>
      <c r="O223" s="34" t="n"/>
      <c r="R223" s="34" t="n"/>
    </row>
    <row r="224">
      <c r="D224" s="30" t="n"/>
      <c r="E224" s="31">
        <f>IFERROR(INDEX('Channel Performance'!$H$7:$H$15,MATCH(C224,'Channel Performance'!$A$7:$A$15,0)),1)</f>
        <v/>
      </c>
      <c r="F224" s="32">
        <f>IFERROR(INDEX('Channel Performance'!$J$7:$J$15,MATCH(C224,'Channel Performance'!$A$7:$A$15,0)),"No data — pure prior")</f>
        <v/>
      </c>
      <c r="G224" s="32">
        <f>IFERROR(ROUND(MIN(10,MAX(1,D224*E224)),1),"")</f>
        <v/>
      </c>
      <c r="H224" s="30" t="n"/>
      <c r="I224" s="30" t="n"/>
      <c r="J224" s="30" t="n"/>
      <c r="K224" s="33" t="n"/>
      <c r="M224" s="33" t="n"/>
      <c r="O224" s="34" t="n"/>
      <c r="R224" s="34" t="n"/>
    </row>
    <row r="225">
      <c r="D225" s="30" t="n"/>
      <c r="E225" s="31">
        <f>IFERROR(INDEX('Channel Performance'!$H$7:$H$15,MATCH(C225,'Channel Performance'!$A$7:$A$15,0)),1)</f>
        <v/>
      </c>
      <c r="F225" s="32">
        <f>IFERROR(INDEX('Channel Performance'!$J$7:$J$15,MATCH(C225,'Channel Performance'!$A$7:$A$15,0)),"No data — pure prior")</f>
        <v/>
      </c>
      <c r="G225" s="32">
        <f>IFERROR(ROUND(MIN(10,MAX(1,D225*E225)),1),"")</f>
        <v/>
      </c>
      <c r="H225" s="30" t="n"/>
      <c r="I225" s="30" t="n"/>
      <c r="J225" s="30" t="n"/>
      <c r="K225" s="33" t="n"/>
      <c r="M225" s="33" t="n"/>
      <c r="O225" s="34" t="n"/>
      <c r="R225" s="34" t="n"/>
    </row>
    <row r="226">
      <c r="D226" s="30" t="n"/>
      <c r="E226" s="31">
        <f>IFERROR(INDEX('Channel Performance'!$H$7:$H$15,MATCH(C226,'Channel Performance'!$A$7:$A$15,0)),1)</f>
        <v/>
      </c>
      <c r="F226" s="32">
        <f>IFERROR(INDEX('Channel Performance'!$J$7:$J$15,MATCH(C226,'Channel Performance'!$A$7:$A$15,0)),"No data — pure prior")</f>
        <v/>
      </c>
      <c r="G226" s="32">
        <f>IFERROR(ROUND(MIN(10,MAX(1,D226*E226)),1),"")</f>
        <v/>
      </c>
      <c r="H226" s="30" t="n"/>
      <c r="I226" s="30" t="n"/>
      <c r="J226" s="30" t="n"/>
      <c r="K226" s="33" t="n"/>
      <c r="M226" s="33" t="n"/>
      <c r="O226" s="34" t="n"/>
      <c r="R226" s="34" t="n"/>
    </row>
    <row r="227">
      <c r="D227" s="30" t="n"/>
      <c r="E227" s="31">
        <f>IFERROR(INDEX('Channel Performance'!$H$7:$H$15,MATCH(C227,'Channel Performance'!$A$7:$A$15,0)),1)</f>
        <v/>
      </c>
      <c r="F227" s="32">
        <f>IFERROR(INDEX('Channel Performance'!$J$7:$J$15,MATCH(C227,'Channel Performance'!$A$7:$A$15,0)),"No data — pure prior")</f>
        <v/>
      </c>
      <c r="G227" s="32">
        <f>IFERROR(ROUND(MIN(10,MAX(1,D227*E227)),1),"")</f>
        <v/>
      </c>
      <c r="H227" s="30" t="n"/>
      <c r="I227" s="30" t="n"/>
      <c r="J227" s="30" t="n"/>
      <c r="K227" s="33" t="n"/>
      <c r="M227" s="33" t="n"/>
      <c r="O227" s="34" t="n"/>
      <c r="R227" s="34" t="n"/>
    </row>
    <row r="228">
      <c r="D228" s="30" t="n"/>
      <c r="E228" s="31">
        <f>IFERROR(INDEX('Channel Performance'!$H$7:$H$15,MATCH(C228,'Channel Performance'!$A$7:$A$15,0)),1)</f>
        <v/>
      </c>
      <c r="F228" s="32">
        <f>IFERROR(INDEX('Channel Performance'!$J$7:$J$15,MATCH(C228,'Channel Performance'!$A$7:$A$15,0)),"No data — pure prior")</f>
        <v/>
      </c>
      <c r="G228" s="32">
        <f>IFERROR(ROUND(MIN(10,MAX(1,D228*E228)),1),"")</f>
        <v/>
      </c>
      <c r="H228" s="30" t="n"/>
      <c r="I228" s="30" t="n"/>
      <c r="J228" s="30" t="n"/>
      <c r="K228" s="33" t="n"/>
      <c r="M228" s="33" t="n"/>
      <c r="O228" s="34" t="n"/>
      <c r="R228" s="34" t="n"/>
    </row>
    <row r="229">
      <c r="D229" s="30" t="n"/>
      <c r="E229" s="31">
        <f>IFERROR(INDEX('Channel Performance'!$H$7:$H$15,MATCH(C229,'Channel Performance'!$A$7:$A$15,0)),1)</f>
        <v/>
      </c>
      <c r="F229" s="32">
        <f>IFERROR(INDEX('Channel Performance'!$J$7:$J$15,MATCH(C229,'Channel Performance'!$A$7:$A$15,0)),"No data — pure prior")</f>
        <v/>
      </c>
      <c r="G229" s="32">
        <f>IFERROR(ROUND(MIN(10,MAX(1,D229*E229)),1),"")</f>
        <v/>
      </c>
      <c r="H229" s="30" t="n"/>
      <c r="I229" s="30" t="n"/>
      <c r="J229" s="30" t="n"/>
      <c r="K229" s="33" t="n"/>
      <c r="M229" s="33" t="n"/>
      <c r="O229" s="34" t="n"/>
      <c r="R229" s="34" t="n"/>
    </row>
    <row r="230">
      <c r="D230" s="30" t="n"/>
      <c r="E230" s="31">
        <f>IFERROR(INDEX('Channel Performance'!$H$7:$H$15,MATCH(C230,'Channel Performance'!$A$7:$A$15,0)),1)</f>
        <v/>
      </c>
      <c r="F230" s="32">
        <f>IFERROR(INDEX('Channel Performance'!$J$7:$J$15,MATCH(C230,'Channel Performance'!$A$7:$A$15,0)),"No data — pure prior")</f>
        <v/>
      </c>
      <c r="G230" s="32">
        <f>IFERROR(ROUND(MIN(10,MAX(1,D230*E230)),1),"")</f>
        <v/>
      </c>
      <c r="H230" s="30" t="n"/>
      <c r="I230" s="30" t="n"/>
      <c r="J230" s="30" t="n"/>
      <c r="K230" s="33" t="n"/>
      <c r="M230" s="33" t="n"/>
      <c r="O230" s="34" t="n"/>
      <c r="R230" s="34" t="n"/>
    </row>
    <row r="231">
      <c r="D231" s="30" t="n"/>
      <c r="E231" s="31">
        <f>IFERROR(INDEX('Channel Performance'!$H$7:$H$15,MATCH(C231,'Channel Performance'!$A$7:$A$15,0)),1)</f>
        <v/>
      </c>
      <c r="F231" s="32">
        <f>IFERROR(INDEX('Channel Performance'!$J$7:$J$15,MATCH(C231,'Channel Performance'!$A$7:$A$15,0)),"No data — pure prior")</f>
        <v/>
      </c>
      <c r="G231" s="32">
        <f>IFERROR(ROUND(MIN(10,MAX(1,D231*E231)),1),"")</f>
        <v/>
      </c>
      <c r="H231" s="30" t="n"/>
      <c r="I231" s="30" t="n"/>
      <c r="J231" s="30" t="n"/>
      <c r="K231" s="33" t="n"/>
      <c r="M231" s="33" t="n"/>
      <c r="O231" s="34" t="n"/>
      <c r="R231" s="34" t="n"/>
    </row>
    <row r="232">
      <c r="D232" s="30" t="n"/>
      <c r="E232" s="31">
        <f>IFERROR(INDEX('Channel Performance'!$H$7:$H$15,MATCH(C232,'Channel Performance'!$A$7:$A$15,0)),1)</f>
        <v/>
      </c>
      <c r="F232" s="32">
        <f>IFERROR(INDEX('Channel Performance'!$J$7:$J$15,MATCH(C232,'Channel Performance'!$A$7:$A$15,0)),"No data — pure prior")</f>
        <v/>
      </c>
      <c r="G232" s="32">
        <f>IFERROR(ROUND(MIN(10,MAX(1,D232*E232)),1),"")</f>
        <v/>
      </c>
      <c r="H232" s="30" t="n"/>
      <c r="I232" s="30" t="n"/>
      <c r="J232" s="30" t="n"/>
      <c r="K232" s="33" t="n"/>
      <c r="M232" s="33" t="n"/>
      <c r="O232" s="34" t="n"/>
      <c r="R232" s="34" t="n"/>
    </row>
    <row r="233">
      <c r="D233" s="30" t="n"/>
      <c r="E233" s="31">
        <f>IFERROR(INDEX('Channel Performance'!$H$7:$H$15,MATCH(C233,'Channel Performance'!$A$7:$A$15,0)),1)</f>
        <v/>
      </c>
      <c r="F233" s="32">
        <f>IFERROR(INDEX('Channel Performance'!$J$7:$J$15,MATCH(C233,'Channel Performance'!$A$7:$A$15,0)),"No data — pure prior")</f>
        <v/>
      </c>
      <c r="G233" s="32">
        <f>IFERROR(ROUND(MIN(10,MAX(1,D233*E233)),1),"")</f>
        <v/>
      </c>
      <c r="H233" s="30" t="n"/>
      <c r="I233" s="30" t="n"/>
      <c r="J233" s="30" t="n"/>
      <c r="K233" s="33" t="n"/>
      <c r="M233" s="33" t="n"/>
      <c r="O233" s="34" t="n"/>
      <c r="R233" s="34" t="n"/>
    </row>
    <row r="234">
      <c r="D234" s="30" t="n"/>
      <c r="E234" s="31">
        <f>IFERROR(INDEX('Channel Performance'!$H$7:$H$15,MATCH(C234,'Channel Performance'!$A$7:$A$15,0)),1)</f>
        <v/>
      </c>
      <c r="F234" s="32">
        <f>IFERROR(INDEX('Channel Performance'!$J$7:$J$15,MATCH(C234,'Channel Performance'!$A$7:$A$15,0)),"No data — pure prior")</f>
        <v/>
      </c>
      <c r="G234" s="32">
        <f>IFERROR(ROUND(MIN(10,MAX(1,D234*E234)),1),"")</f>
        <v/>
      </c>
      <c r="H234" s="30" t="n"/>
      <c r="I234" s="30" t="n"/>
      <c r="J234" s="30" t="n"/>
      <c r="K234" s="33" t="n"/>
      <c r="M234" s="33" t="n"/>
      <c r="O234" s="34" t="n"/>
      <c r="R234" s="34" t="n"/>
    </row>
    <row r="235">
      <c r="D235" s="30" t="n"/>
      <c r="E235" s="31">
        <f>IFERROR(INDEX('Channel Performance'!$H$7:$H$15,MATCH(C235,'Channel Performance'!$A$7:$A$15,0)),1)</f>
        <v/>
      </c>
      <c r="F235" s="32">
        <f>IFERROR(INDEX('Channel Performance'!$J$7:$J$15,MATCH(C235,'Channel Performance'!$A$7:$A$15,0)),"No data — pure prior")</f>
        <v/>
      </c>
      <c r="G235" s="32">
        <f>IFERROR(ROUND(MIN(10,MAX(1,D235*E235)),1),"")</f>
        <v/>
      </c>
      <c r="H235" s="30" t="n"/>
      <c r="I235" s="30" t="n"/>
      <c r="J235" s="30" t="n"/>
      <c r="K235" s="33" t="n"/>
      <c r="M235" s="33" t="n"/>
      <c r="O235" s="34" t="n"/>
      <c r="R235" s="34" t="n"/>
    </row>
    <row r="236">
      <c r="D236" s="30" t="n"/>
      <c r="E236" s="31">
        <f>IFERROR(INDEX('Channel Performance'!$H$7:$H$15,MATCH(C236,'Channel Performance'!$A$7:$A$15,0)),1)</f>
        <v/>
      </c>
      <c r="F236" s="32">
        <f>IFERROR(INDEX('Channel Performance'!$J$7:$J$15,MATCH(C236,'Channel Performance'!$A$7:$A$15,0)),"No data — pure prior")</f>
        <v/>
      </c>
      <c r="G236" s="32">
        <f>IFERROR(ROUND(MIN(10,MAX(1,D236*E236)),1),"")</f>
        <v/>
      </c>
      <c r="H236" s="30" t="n"/>
      <c r="I236" s="30" t="n"/>
      <c r="J236" s="30" t="n"/>
      <c r="K236" s="33" t="n"/>
      <c r="M236" s="33" t="n"/>
      <c r="O236" s="34" t="n"/>
      <c r="R236" s="34" t="n"/>
    </row>
    <row r="237">
      <c r="D237" s="30" t="n"/>
      <c r="E237" s="31">
        <f>IFERROR(INDEX('Channel Performance'!$H$7:$H$15,MATCH(C237,'Channel Performance'!$A$7:$A$15,0)),1)</f>
        <v/>
      </c>
      <c r="F237" s="32">
        <f>IFERROR(INDEX('Channel Performance'!$J$7:$J$15,MATCH(C237,'Channel Performance'!$A$7:$A$15,0)),"No data — pure prior")</f>
        <v/>
      </c>
      <c r="G237" s="32">
        <f>IFERROR(ROUND(MIN(10,MAX(1,D237*E237)),1),"")</f>
        <v/>
      </c>
      <c r="H237" s="30" t="n"/>
      <c r="I237" s="30" t="n"/>
      <c r="J237" s="30" t="n"/>
      <c r="K237" s="33" t="n"/>
      <c r="M237" s="33" t="n"/>
      <c r="O237" s="34" t="n"/>
      <c r="R237" s="34" t="n"/>
    </row>
    <row r="238">
      <c r="D238" s="30" t="n"/>
      <c r="E238" s="31">
        <f>IFERROR(INDEX('Channel Performance'!$H$7:$H$15,MATCH(C238,'Channel Performance'!$A$7:$A$15,0)),1)</f>
        <v/>
      </c>
      <c r="F238" s="32">
        <f>IFERROR(INDEX('Channel Performance'!$J$7:$J$15,MATCH(C238,'Channel Performance'!$A$7:$A$15,0)),"No data — pure prior")</f>
        <v/>
      </c>
      <c r="G238" s="32">
        <f>IFERROR(ROUND(MIN(10,MAX(1,D238*E238)),1),"")</f>
        <v/>
      </c>
      <c r="H238" s="30" t="n"/>
      <c r="I238" s="30" t="n"/>
      <c r="J238" s="30" t="n"/>
      <c r="K238" s="33" t="n"/>
      <c r="M238" s="33" t="n"/>
      <c r="O238" s="34" t="n"/>
      <c r="R238" s="34" t="n"/>
    </row>
    <row r="239">
      <c r="D239" s="30" t="n"/>
      <c r="E239" s="31">
        <f>IFERROR(INDEX('Channel Performance'!$H$7:$H$15,MATCH(C239,'Channel Performance'!$A$7:$A$15,0)),1)</f>
        <v/>
      </c>
      <c r="F239" s="32">
        <f>IFERROR(INDEX('Channel Performance'!$J$7:$J$15,MATCH(C239,'Channel Performance'!$A$7:$A$15,0)),"No data — pure prior")</f>
        <v/>
      </c>
      <c r="G239" s="32">
        <f>IFERROR(ROUND(MIN(10,MAX(1,D239*E239)),1),"")</f>
        <v/>
      </c>
      <c r="H239" s="30" t="n"/>
      <c r="I239" s="30" t="n"/>
      <c r="J239" s="30" t="n"/>
      <c r="K239" s="33" t="n"/>
      <c r="M239" s="33" t="n"/>
      <c r="O239" s="34" t="n"/>
      <c r="R239" s="34" t="n"/>
    </row>
    <row r="240">
      <c r="D240" s="30" t="n"/>
      <c r="E240" s="31">
        <f>IFERROR(INDEX('Channel Performance'!$H$7:$H$15,MATCH(C240,'Channel Performance'!$A$7:$A$15,0)),1)</f>
        <v/>
      </c>
      <c r="F240" s="32">
        <f>IFERROR(INDEX('Channel Performance'!$J$7:$J$15,MATCH(C240,'Channel Performance'!$A$7:$A$15,0)),"No data — pure prior")</f>
        <v/>
      </c>
      <c r="G240" s="32">
        <f>IFERROR(ROUND(MIN(10,MAX(1,D240*E240)),1),"")</f>
        <v/>
      </c>
      <c r="H240" s="30" t="n"/>
      <c r="I240" s="30" t="n"/>
      <c r="J240" s="30" t="n"/>
      <c r="K240" s="33" t="n"/>
      <c r="M240" s="33" t="n"/>
      <c r="O240" s="34" t="n"/>
      <c r="R240" s="34" t="n"/>
    </row>
    <row r="241">
      <c r="D241" s="30" t="n"/>
      <c r="E241" s="31">
        <f>IFERROR(INDEX('Channel Performance'!$H$7:$H$15,MATCH(C241,'Channel Performance'!$A$7:$A$15,0)),1)</f>
        <v/>
      </c>
      <c r="F241" s="32">
        <f>IFERROR(INDEX('Channel Performance'!$J$7:$J$15,MATCH(C241,'Channel Performance'!$A$7:$A$15,0)),"No data — pure prior")</f>
        <v/>
      </c>
      <c r="G241" s="32">
        <f>IFERROR(ROUND(MIN(10,MAX(1,D241*E241)),1),"")</f>
        <v/>
      </c>
      <c r="H241" s="30" t="n"/>
      <c r="I241" s="30" t="n"/>
      <c r="J241" s="30" t="n"/>
      <c r="K241" s="33" t="n"/>
      <c r="M241" s="33" t="n"/>
      <c r="O241" s="34" t="n"/>
      <c r="R241" s="34" t="n"/>
    </row>
    <row r="242">
      <c r="D242" s="30" t="n"/>
      <c r="E242" s="31">
        <f>IFERROR(INDEX('Channel Performance'!$H$7:$H$15,MATCH(C242,'Channel Performance'!$A$7:$A$15,0)),1)</f>
        <v/>
      </c>
      <c r="F242" s="32">
        <f>IFERROR(INDEX('Channel Performance'!$J$7:$J$15,MATCH(C242,'Channel Performance'!$A$7:$A$15,0)),"No data — pure prior")</f>
        <v/>
      </c>
      <c r="G242" s="32">
        <f>IFERROR(ROUND(MIN(10,MAX(1,D242*E242)),1),"")</f>
        <v/>
      </c>
      <c r="H242" s="30" t="n"/>
      <c r="I242" s="30" t="n"/>
      <c r="J242" s="30" t="n"/>
      <c r="K242" s="33" t="n"/>
      <c r="M242" s="33" t="n"/>
      <c r="O242" s="34" t="n"/>
      <c r="R242" s="34" t="n"/>
    </row>
    <row r="243">
      <c r="D243" s="30" t="n"/>
      <c r="E243" s="31">
        <f>IFERROR(INDEX('Channel Performance'!$H$7:$H$15,MATCH(C243,'Channel Performance'!$A$7:$A$15,0)),1)</f>
        <v/>
      </c>
      <c r="F243" s="32">
        <f>IFERROR(INDEX('Channel Performance'!$J$7:$J$15,MATCH(C243,'Channel Performance'!$A$7:$A$15,0)),"No data — pure prior")</f>
        <v/>
      </c>
      <c r="G243" s="32">
        <f>IFERROR(ROUND(MIN(10,MAX(1,D243*E243)),1),"")</f>
        <v/>
      </c>
      <c r="H243" s="30" t="n"/>
      <c r="I243" s="30" t="n"/>
      <c r="J243" s="30" t="n"/>
      <c r="K243" s="33" t="n"/>
      <c r="M243" s="33" t="n"/>
      <c r="O243" s="34" t="n"/>
      <c r="R243" s="34" t="n"/>
    </row>
    <row r="244">
      <c r="D244" s="30" t="n"/>
      <c r="E244" s="31">
        <f>IFERROR(INDEX('Channel Performance'!$H$7:$H$15,MATCH(C244,'Channel Performance'!$A$7:$A$15,0)),1)</f>
        <v/>
      </c>
      <c r="F244" s="32">
        <f>IFERROR(INDEX('Channel Performance'!$J$7:$J$15,MATCH(C244,'Channel Performance'!$A$7:$A$15,0)),"No data — pure prior")</f>
        <v/>
      </c>
      <c r="G244" s="32">
        <f>IFERROR(ROUND(MIN(10,MAX(1,D244*E244)),1),"")</f>
        <v/>
      </c>
      <c r="H244" s="30" t="n"/>
      <c r="I244" s="30" t="n"/>
      <c r="J244" s="30" t="n"/>
      <c r="K244" s="33" t="n"/>
      <c r="M244" s="33" t="n"/>
      <c r="O244" s="34" t="n"/>
      <c r="R244" s="34" t="n"/>
    </row>
    <row r="245">
      <c r="D245" s="30" t="n"/>
      <c r="E245" s="31">
        <f>IFERROR(INDEX('Channel Performance'!$H$7:$H$15,MATCH(C245,'Channel Performance'!$A$7:$A$15,0)),1)</f>
        <v/>
      </c>
      <c r="F245" s="32">
        <f>IFERROR(INDEX('Channel Performance'!$J$7:$J$15,MATCH(C245,'Channel Performance'!$A$7:$A$15,0)),"No data — pure prior")</f>
        <v/>
      </c>
      <c r="G245" s="32">
        <f>IFERROR(ROUND(MIN(10,MAX(1,D245*E245)),1),"")</f>
        <v/>
      </c>
      <c r="H245" s="30" t="n"/>
      <c r="I245" s="30" t="n"/>
      <c r="J245" s="30" t="n"/>
      <c r="K245" s="33" t="n"/>
      <c r="M245" s="33" t="n"/>
      <c r="O245" s="34" t="n"/>
      <c r="R245" s="34" t="n"/>
    </row>
    <row r="246">
      <c r="D246" s="30" t="n"/>
      <c r="E246" s="31">
        <f>IFERROR(INDEX('Channel Performance'!$H$7:$H$15,MATCH(C246,'Channel Performance'!$A$7:$A$15,0)),1)</f>
        <v/>
      </c>
      <c r="F246" s="32">
        <f>IFERROR(INDEX('Channel Performance'!$J$7:$J$15,MATCH(C246,'Channel Performance'!$A$7:$A$15,0)),"No data — pure prior")</f>
        <v/>
      </c>
      <c r="G246" s="32">
        <f>IFERROR(ROUND(MIN(10,MAX(1,D246*E246)),1),"")</f>
        <v/>
      </c>
      <c r="H246" s="30" t="n"/>
      <c r="I246" s="30" t="n"/>
      <c r="J246" s="30" t="n"/>
      <c r="K246" s="33" t="n"/>
      <c r="M246" s="33" t="n"/>
      <c r="O246" s="34" t="n"/>
      <c r="R246" s="34" t="n"/>
    </row>
    <row r="247">
      <c r="D247" s="30" t="n"/>
      <c r="E247" s="31">
        <f>IFERROR(INDEX('Channel Performance'!$H$7:$H$15,MATCH(C247,'Channel Performance'!$A$7:$A$15,0)),1)</f>
        <v/>
      </c>
      <c r="F247" s="32">
        <f>IFERROR(INDEX('Channel Performance'!$J$7:$J$15,MATCH(C247,'Channel Performance'!$A$7:$A$15,0)),"No data — pure prior")</f>
        <v/>
      </c>
      <c r="G247" s="32">
        <f>IFERROR(ROUND(MIN(10,MAX(1,D247*E247)),1),"")</f>
        <v/>
      </c>
      <c r="H247" s="30" t="n"/>
      <c r="I247" s="30" t="n"/>
      <c r="J247" s="30" t="n"/>
      <c r="K247" s="33" t="n"/>
      <c r="M247" s="33" t="n"/>
      <c r="O247" s="34" t="n"/>
      <c r="R247" s="34" t="n"/>
    </row>
    <row r="248">
      <c r="D248" s="30" t="n"/>
      <c r="E248" s="31">
        <f>IFERROR(INDEX('Channel Performance'!$H$7:$H$15,MATCH(C248,'Channel Performance'!$A$7:$A$15,0)),1)</f>
        <v/>
      </c>
      <c r="F248" s="32">
        <f>IFERROR(INDEX('Channel Performance'!$J$7:$J$15,MATCH(C248,'Channel Performance'!$A$7:$A$15,0)),"No data — pure prior")</f>
        <v/>
      </c>
      <c r="G248" s="32">
        <f>IFERROR(ROUND(MIN(10,MAX(1,D248*E248)),1),"")</f>
        <v/>
      </c>
      <c r="H248" s="30" t="n"/>
      <c r="I248" s="30" t="n"/>
      <c r="J248" s="30" t="n"/>
      <c r="K248" s="33" t="n"/>
      <c r="M248" s="33" t="n"/>
      <c r="O248" s="34" t="n"/>
      <c r="R248" s="34" t="n"/>
    </row>
    <row r="249">
      <c r="D249" s="30" t="n"/>
      <c r="E249" s="31">
        <f>IFERROR(INDEX('Channel Performance'!$H$7:$H$15,MATCH(C249,'Channel Performance'!$A$7:$A$15,0)),1)</f>
        <v/>
      </c>
      <c r="F249" s="32">
        <f>IFERROR(INDEX('Channel Performance'!$J$7:$J$15,MATCH(C249,'Channel Performance'!$A$7:$A$15,0)),"No data — pure prior")</f>
        <v/>
      </c>
      <c r="G249" s="32">
        <f>IFERROR(ROUND(MIN(10,MAX(1,D249*E249)),1),"")</f>
        <v/>
      </c>
      <c r="H249" s="30" t="n"/>
      <c r="I249" s="30" t="n"/>
      <c r="J249" s="30" t="n"/>
      <c r="K249" s="33" t="n"/>
      <c r="M249" s="33" t="n"/>
      <c r="O249" s="34" t="n"/>
      <c r="R249" s="34" t="n"/>
    </row>
    <row r="250">
      <c r="D250" s="30" t="n"/>
      <c r="E250" s="31">
        <f>IFERROR(INDEX('Channel Performance'!$H$7:$H$15,MATCH(C250,'Channel Performance'!$A$7:$A$15,0)),1)</f>
        <v/>
      </c>
      <c r="F250" s="32">
        <f>IFERROR(INDEX('Channel Performance'!$J$7:$J$15,MATCH(C250,'Channel Performance'!$A$7:$A$15,0)),"No data — pure prior")</f>
        <v/>
      </c>
      <c r="G250" s="32">
        <f>IFERROR(ROUND(MIN(10,MAX(1,D250*E250)),1),"")</f>
        <v/>
      </c>
      <c r="H250" s="30" t="n"/>
      <c r="I250" s="30" t="n"/>
      <c r="J250" s="30" t="n"/>
      <c r="K250" s="33" t="n"/>
      <c r="M250" s="33" t="n"/>
      <c r="O250" s="34" t="n"/>
      <c r="R250" s="34" t="n"/>
    </row>
    <row r="251">
      <c r="D251" s="30" t="n"/>
      <c r="E251" s="31">
        <f>IFERROR(INDEX('Channel Performance'!$H$7:$H$15,MATCH(C251,'Channel Performance'!$A$7:$A$15,0)),1)</f>
        <v/>
      </c>
      <c r="F251" s="32">
        <f>IFERROR(INDEX('Channel Performance'!$J$7:$J$15,MATCH(C251,'Channel Performance'!$A$7:$A$15,0)),"No data — pure prior")</f>
        <v/>
      </c>
      <c r="G251" s="32">
        <f>IFERROR(ROUND(MIN(10,MAX(1,D251*E251)),1),"")</f>
        <v/>
      </c>
      <c r="H251" s="30" t="n"/>
      <c r="I251" s="30" t="n"/>
      <c r="J251" s="30" t="n"/>
      <c r="K251" s="33" t="n"/>
      <c r="M251" s="33" t="n"/>
      <c r="O251" s="34" t="n"/>
      <c r="R251" s="34" t="n"/>
    </row>
    <row r="252">
      <c r="D252" s="30" t="n"/>
      <c r="E252" s="31">
        <f>IFERROR(INDEX('Channel Performance'!$H$7:$H$15,MATCH(C252,'Channel Performance'!$A$7:$A$15,0)),1)</f>
        <v/>
      </c>
      <c r="F252" s="32">
        <f>IFERROR(INDEX('Channel Performance'!$J$7:$J$15,MATCH(C252,'Channel Performance'!$A$7:$A$15,0)),"No data — pure prior")</f>
        <v/>
      </c>
      <c r="G252" s="32">
        <f>IFERROR(ROUND(MIN(10,MAX(1,D252*E252)),1),"")</f>
        <v/>
      </c>
      <c r="H252" s="30" t="n"/>
      <c r="I252" s="30" t="n"/>
      <c r="J252" s="30" t="n"/>
      <c r="K252" s="33" t="n"/>
      <c r="M252" s="33" t="n"/>
      <c r="O252" s="34" t="n"/>
      <c r="R252" s="34" t="n"/>
    </row>
    <row r="253">
      <c r="D253" s="30" t="n"/>
      <c r="E253" s="31">
        <f>IFERROR(INDEX('Channel Performance'!$H$7:$H$15,MATCH(C253,'Channel Performance'!$A$7:$A$15,0)),1)</f>
        <v/>
      </c>
      <c r="F253" s="32">
        <f>IFERROR(INDEX('Channel Performance'!$J$7:$J$15,MATCH(C253,'Channel Performance'!$A$7:$A$15,0)),"No data — pure prior")</f>
        <v/>
      </c>
      <c r="G253" s="32">
        <f>IFERROR(ROUND(MIN(10,MAX(1,D253*E253)),1),"")</f>
        <v/>
      </c>
      <c r="H253" s="30" t="n"/>
      <c r="I253" s="30" t="n"/>
      <c r="J253" s="30" t="n"/>
      <c r="K253" s="33" t="n"/>
      <c r="M253" s="33" t="n"/>
      <c r="O253" s="34" t="n"/>
      <c r="R253" s="34" t="n"/>
    </row>
    <row r="254">
      <c r="D254" s="30" t="n"/>
      <c r="E254" s="31">
        <f>IFERROR(INDEX('Channel Performance'!$H$7:$H$15,MATCH(C254,'Channel Performance'!$A$7:$A$15,0)),1)</f>
        <v/>
      </c>
      <c r="F254" s="32">
        <f>IFERROR(INDEX('Channel Performance'!$J$7:$J$15,MATCH(C254,'Channel Performance'!$A$7:$A$15,0)),"No data — pure prior")</f>
        <v/>
      </c>
      <c r="G254" s="32">
        <f>IFERROR(ROUND(MIN(10,MAX(1,D254*E254)),1),"")</f>
        <v/>
      </c>
      <c r="H254" s="30" t="n"/>
      <c r="I254" s="30" t="n"/>
      <c r="J254" s="30" t="n"/>
      <c r="K254" s="33" t="n"/>
      <c r="M254" s="33" t="n"/>
      <c r="O254" s="34" t="n"/>
      <c r="R254" s="34" t="n"/>
    </row>
    <row r="255">
      <c r="D255" s="30" t="n"/>
      <c r="E255" s="31">
        <f>IFERROR(INDEX('Channel Performance'!$H$7:$H$15,MATCH(C255,'Channel Performance'!$A$7:$A$15,0)),1)</f>
        <v/>
      </c>
      <c r="F255" s="32">
        <f>IFERROR(INDEX('Channel Performance'!$J$7:$J$15,MATCH(C255,'Channel Performance'!$A$7:$A$15,0)),"No data — pure prior")</f>
        <v/>
      </c>
      <c r="G255" s="32">
        <f>IFERROR(ROUND(MIN(10,MAX(1,D255*E255)),1),"")</f>
        <v/>
      </c>
      <c r="H255" s="30" t="n"/>
      <c r="I255" s="30" t="n"/>
      <c r="J255" s="30" t="n"/>
      <c r="K255" s="33" t="n"/>
      <c r="M255" s="33" t="n"/>
      <c r="O255" s="34" t="n"/>
      <c r="R255" s="34" t="n"/>
    </row>
    <row r="256">
      <c r="D256" s="30" t="n"/>
      <c r="E256" s="31">
        <f>IFERROR(INDEX('Channel Performance'!$H$7:$H$15,MATCH(C256,'Channel Performance'!$A$7:$A$15,0)),1)</f>
        <v/>
      </c>
      <c r="F256" s="32">
        <f>IFERROR(INDEX('Channel Performance'!$J$7:$J$15,MATCH(C256,'Channel Performance'!$A$7:$A$15,0)),"No data — pure prior")</f>
        <v/>
      </c>
      <c r="G256" s="32">
        <f>IFERROR(ROUND(MIN(10,MAX(1,D256*E256)),1),"")</f>
        <v/>
      </c>
      <c r="H256" s="30" t="n"/>
      <c r="I256" s="30" t="n"/>
      <c r="J256" s="30" t="n"/>
      <c r="K256" s="33" t="n"/>
      <c r="M256" s="33" t="n"/>
      <c r="O256" s="34" t="n"/>
      <c r="R256" s="34" t="n"/>
    </row>
    <row r="257">
      <c r="D257" s="30" t="n"/>
      <c r="E257" s="31">
        <f>IFERROR(INDEX('Channel Performance'!$H$7:$H$15,MATCH(C257,'Channel Performance'!$A$7:$A$15,0)),1)</f>
        <v/>
      </c>
      <c r="F257" s="32">
        <f>IFERROR(INDEX('Channel Performance'!$J$7:$J$15,MATCH(C257,'Channel Performance'!$A$7:$A$15,0)),"No data — pure prior")</f>
        <v/>
      </c>
      <c r="G257" s="32">
        <f>IFERROR(ROUND(MIN(10,MAX(1,D257*E257)),1),"")</f>
        <v/>
      </c>
      <c r="H257" s="30" t="n"/>
      <c r="I257" s="30" t="n"/>
      <c r="J257" s="30" t="n"/>
      <c r="K257" s="33" t="n"/>
      <c r="M257" s="33" t="n"/>
      <c r="O257" s="34" t="n"/>
      <c r="R257" s="34" t="n"/>
    </row>
    <row r="258">
      <c r="D258" s="30" t="n"/>
      <c r="E258" s="31">
        <f>IFERROR(INDEX('Channel Performance'!$H$7:$H$15,MATCH(C258,'Channel Performance'!$A$7:$A$15,0)),1)</f>
        <v/>
      </c>
      <c r="F258" s="32">
        <f>IFERROR(INDEX('Channel Performance'!$J$7:$J$15,MATCH(C258,'Channel Performance'!$A$7:$A$15,0)),"No data — pure prior")</f>
        <v/>
      </c>
      <c r="G258" s="32">
        <f>IFERROR(ROUND(MIN(10,MAX(1,D258*E258)),1),"")</f>
        <v/>
      </c>
      <c r="H258" s="30" t="n"/>
      <c r="I258" s="30" t="n"/>
      <c r="J258" s="30" t="n"/>
      <c r="K258" s="33" t="n"/>
      <c r="M258" s="33" t="n"/>
      <c r="O258" s="34" t="n"/>
      <c r="R258" s="34" t="n"/>
    </row>
    <row r="259">
      <c r="D259" s="30" t="n"/>
      <c r="E259" s="31">
        <f>IFERROR(INDEX('Channel Performance'!$H$7:$H$15,MATCH(C259,'Channel Performance'!$A$7:$A$15,0)),1)</f>
        <v/>
      </c>
      <c r="F259" s="32">
        <f>IFERROR(INDEX('Channel Performance'!$J$7:$J$15,MATCH(C259,'Channel Performance'!$A$7:$A$15,0)),"No data — pure prior")</f>
        <v/>
      </c>
      <c r="G259" s="32">
        <f>IFERROR(ROUND(MIN(10,MAX(1,D259*E259)),1),"")</f>
        <v/>
      </c>
      <c r="H259" s="30" t="n"/>
      <c r="I259" s="30" t="n"/>
      <c r="J259" s="30" t="n"/>
      <c r="K259" s="33" t="n"/>
      <c r="M259" s="33" t="n"/>
      <c r="O259" s="34" t="n"/>
      <c r="R259" s="34" t="n"/>
    </row>
    <row r="260">
      <c r="D260" s="30" t="n"/>
      <c r="E260" s="31">
        <f>IFERROR(INDEX('Channel Performance'!$H$7:$H$15,MATCH(C260,'Channel Performance'!$A$7:$A$15,0)),1)</f>
        <v/>
      </c>
      <c r="F260" s="32">
        <f>IFERROR(INDEX('Channel Performance'!$J$7:$J$15,MATCH(C260,'Channel Performance'!$A$7:$A$15,0)),"No data — pure prior")</f>
        <v/>
      </c>
      <c r="G260" s="32">
        <f>IFERROR(ROUND(MIN(10,MAX(1,D260*E260)),1),"")</f>
        <v/>
      </c>
      <c r="H260" s="30" t="n"/>
      <c r="I260" s="30" t="n"/>
      <c r="J260" s="30" t="n"/>
      <c r="K260" s="33" t="n"/>
      <c r="M260" s="33" t="n"/>
      <c r="O260" s="34" t="n"/>
      <c r="R260" s="34" t="n"/>
    </row>
    <row r="261">
      <c r="D261" s="30" t="n"/>
      <c r="E261" s="31">
        <f>IFERROR(INDEX('Channel Performance'!$H$7:$H$15,MATCH(C261,'Channel Performance'!$A$7:$A$15,0)),1)</f>
        <v/>
      </c>
      <c r="F261" s="32">
        <f>IFERROR(INDEX('Channel Performance'!$J$7:$J$15,MATCH(C261,'Channel Performance'!$A$7:$A$15,0)),"No data — pure prior")</f>
        <v/>
      </c>
      <c r="G261" s="32">
        <f>IFERROR(ROUND(MIN(10,MAX(1,D261*E261)),1),"")</f>
        <v/>
      </c>
      <c r="H261" s="30" t="n"/>
      <c r="I261" s="30" t="n"/>
      <c r="J261" s="30" t="n"/>
      <c r="K261" s="33" t="n"/>
      <c r="M261" s="33" t="n"/>
      <c r="O261" s="34" t="n"/>
      <c r="R261" s="34" t="n"/>
    </row>
    <row r="262">
      <c r="D262" s="30" t="n"/>
      <c r="E262" s="31">
        <f>IFERROR(INDEX('Channel Performance'!$H$7:$H$15,MATCH(C262,'Channel Performance'!$A$7:$A$15,0)),1)</f>
        <v/>
      </c>
      <c r="F262" s="32">
        <f>IFERROR(INDEX('Channel Performance'!$J$7:$J$15,MATCH(C262,'Channel Performance'!$A$7:$A$15,0)),"No data — pure prior")</f>
        <v/>
      </c>
      <c r="G262" s="32">
        <f>IFERROR(ROUND(MIN(10,MAX(1,D262*E262)),1),"")</f>
        <v/>
      </c>
      <c r="H262" s="30" t="n"/>
      <c r="I262" s="30" t="n"/>
      <c r="J262" s="30" t="n"/>
      <c r="K262" s="33" t="n"/>
      <c r="M262" s="33" t="n"/>
      <c r="O262" s="34" t="n"/>
      <c r="R262" s="34" t="n"/>
    </row>
    <row r="263">
      <c r="D263" s="30" t="n"/>
      <c r="E263" s="31">
        <f>IFERROR(INDEX('Channel Performance'!$H$7:$H$15,MATCH(C263,'Channel Performance'!$A$7:$A$15,0)),1)</f>
        <v/>
      </c>
      <c r="F263" s="32">
        <f>IFERROR(INDEX('Channel Performance'!$J$7:$J$15,MATCH(C263,'Channel Performance'!$A$7:$A$15,0)),"No data — pure prior")</f>
        <v/>
      </c>
      <c r="G263" s="32">
        <f>IFERROR(ROUND(MIN(10,MAX(1,D263*E263)),1),"")</f>
        <v/>
      </c>
      <c r="H263" s="30" t="n"/>
      <c r="I263" s="30" t="n"/>
      <c r="J263" s="30" t="n"/>
      <c r="K263" s="33" t="n"/>
      <c r="M263" s="33" t="n"/>
      <c r="O263" s="34" t="n"/>
      <c r="R263" s="34" t="n"/>
    </row>
    <row r="264">
      <c r="D264" s="30" t="n"/>
      <c r="E264" s="31">
        <f>IFERROR(INDEX('Channel Performance'!$H$7:$H$15,MATCH(C264,'Channel Performance'!$A$7:$A$15,0)),1)</f>
        <v/>
      </c>
      <c r="F264" s="32">
        <f>IFERROR(INDEX('Channel Performance'!$J$7:$J$15,MATCH(C264,'Channel Performance'!$A$7:$A$15,0)),"No data — pure prior")</f>
        <v/>
      </c>
      <c r="G264" s="32">
        <f>IFERROR(ROUND(MIN(10,MAX(1,D264*E264)),1),"")</f>
        <v/>
      </c>
      <c r="H264" s="30" t="n"/>
      <c r="I264" s="30" t="n"/>
      <c r="J264" s="30" t="n"/>
      <c r="K264" s="33" t="n"/>
      <c r="M264" s="33" t="n"/>
      <c r="O264" s="34" t="n"/>
      <c r="R264" s="34" t="n"/>
    </row>
    <row r="265">
      <c r="D265" s="30" t="n"/>
      <c r="E265" s="31">
        <f>IFERROR(INDEX('Channel Performance'!$H$7:$H$15,MATCH(C265,'Channel Performance'!$A$7:$A$15,0)),1)</f>
        <v/>
      </c>
      <c r="F265" s="32">
        <f>IFERROR(INDEX('Channel Performance'!$J$7:$J$15,MATCH(C265,'Channel Performance'!$A$7:$A$15,0)),"No data — pure prior")</f>
        <v/>
      </c>
      <c r="G265" s="32">
        <f>IFERROR(ROUND(MIN(10,MAX(1,D265*E265)),1),"")</f>
        <v/>
      </c>
      <c r="H265" s="30" t="n"/>
      <c r="I265" s="30" t="n"/>
      <c r="J265" s="30" t="n"/>
      <c r="K265" s="33" t="n"/>
      <c r="M265" s="33" t="n"/>
      <c r="O265" s="34" t="n"/>
      <c r="R265" s="34" t="n"/>
    </row>
    <row r="266">
      <c r="D266" s="30" t="n"/>
      <c r="E266" s="31">
        <f>IFERROR(INDEX('Channel Performance'!$H$7:$H$15,MATCH(C266,'Channel Performance'!$A$7:$A$15,0)),1)</f>
        <v/>
      </c>
      <c r="F266" s="32">
        <f>IFERROR(INDEX('Channel Performance'!$J$7:$J$15,MATCH(C266,'Channel Performance'!$A$7:$A$15,0)),"No data — pure prior")</f>
        <v/>
      </c>
      <c r="G266" s="32">
        <f>IFERROR(ROUND(MIN(10,MAX(1,D266*E266)),1),"")</f>
        <v/>
      </c>
      <c r="H266" s="30" t="n"/>
      <c r="I266" s="30" t="n"/>
      <c r="J266" s="30" t="n"/>
      <c r="K266" s="33" t="n"/>
      <c r="M266" s="33" t="n"/>
      <c r="O266" s="34" t="n"/>
      <c r="R266" s="34" t="n"/>
    </row>
    <row r="267">
      <c r="D267" s="30" t="n"/>
      <c r="E267" s="31">
        <f>IFERROR(INDEX('Channel Performance'!$H$7:$H$15,MATCH(C267,'Channel Performance'!$A$7:$A$15,0)),1)</f>
        <v/>
      </c>
      <c r="F267" s="32">
        <f>IFERROR(INDEX('Channel Performance'!$J$7:$J$15,MATCH(C267,'Channel Performance'!$A$7:$A$15,0)),"No data — pure prior")</f>
        <v/>
      </c>
      <c r="G267" s="32">
        <f>IFERROR(ROUND(MIN(10,MAX(1,D267*E267)),1),"")</f>
        <v/>
      </c>
      <c r="H267" s="30" t="n"/>
      <c r="I267" s="30" t="n"/>
      <c r="J267" s="30" t="n"/>
      <c r="K267" s="33" t="n"/>
      <c r="M267" s="33" t="n"/>
      <c r="O267" s="34" t="n"/>
      <c r="R267" s="34" t="n"/>
    </row>
    <row r="268">
      <c r="D268" s="30" t="n"/>
      <c r="E268" s="31">
        <f>IFERROR(INDEX('Channel Performance'!$H$7:$H$15,MATCH(C268,'Channel Performance'!$A$7:$A$15,0)),1)</f>
        <v/>
      </c>
      <c r="F268" s="32">
        <f>IFERROR(INDEX('Channel Performance'!$J$7:$J$15,MATCH(C268,'Channel Performance'!$A$7:$A$15,0)),"No data — pure prior")</f>
        <v/>
      </c>
      <c r="G268" s="32">
        <f>IFERROR(ROUND(MIN(10,MAX(1,D268*E268)),1),"")</f>
        <v/>
      </c>
      <c r="H268" s="30" t="n"/>
      <c r="I268" s="30" t="n"/>
      <c r="J268" s="30" t="n"/>
      <c r="K268" s="33" t="n"/>
      <c r="M268" s="33" t="n"/>
      <c r="O268" s="34" t="n"/>
      <c r="R268" s="34" t="n"/>
    </row>
    <row r="269">
      <c r="D269" s="30" t="n"/>
      <c r="E269" s="31">
        <f>IFERROR(INDEX('Channel Performance'!$H$7:$H$15,MATCH(C269,'Channel Performance'!$A$7:$A$15,0)),1)</f>
        <v/>
      </c>
      <c r="F269" s="32">
        <f>IFERROR(INDEX('Channel Performance'!$J$7:$J$15,MATCH(C269,'Channel Performance'!$A$7:$A$15,0)),"No data — pure prior")</f>
        <v/>
      </c>
      <c r="G269" s="32">
        <f>IFERROR(ROUND(MIN(10,MAX(1,D269*E269)),1),"")</f>
        <v/>
      </c>
      <c r="H269" s="30" t="n"/>
      <c r="I269" s="30" t="n"/>
      <c r="J269" s="30" t="n"/>
      <c r="K269" s="33" t="n"/>
      <c r="M269" s="33" t="n"/>
      <c r="O269" s="34" t="n"/>
      <c r="R269" s="34" t="n"/>
    </row>
    <row r="270">
      <c r="D270" s="30" t="n"/>
      <c r="E270" s="31">
        <f>IFERROR(INDEX('Channel Performance'!$H$7:$H$15,MATCH(C270,'Channel Performance'!$A$7:$A$15,0)),1)</f>
        <v/>
      </c>
      <c r="F270" s="32">
        <f>IFERROR(INDEX('Channel Performance'!$J$7:$J$15,MATCH(C270,'Channel Performance'!$A$7:$A$15,0)),"No data — pure prior")</f>
        <v/>
      </c>
      <c r="G270" s="32">
        <f>IFERROR(ROUND(MIN(10,MAX(1,D270*E270)),1),"")</f>
        <v/>
      </c>
      <c r="H270" s="30" t="n"/>
      <c r="I270" s="30" t="n"/>
      <c r="J270" s="30" t="n"/>
      <c r="K270" s="33" t="n"/>
      <c r="M270" s="33" t="n"/>
      <c r="O270" s="34" t="n"/>
      <c r="R270" s="34" t="n"/>
    </row>
    <row r="271">
      <c r="D271" s="30" t="n"/>
      <c r="E271" s="31">
        <f>IFERROR(INDEX('Channel Performance'!$H$7:$H$15,MATCH(C271,'Channel Performance'!$A$7:$A$15,0)),1)</f>
        <v/>
      </c>
      <c r="F271" s="32">
        <f>IFERROR(INDEX('Channel Performance'!$J$7:$J$15,MATCH(C271,'Channel Performance'!$A$7:$A$15,0)),"No data — pure prior")</f>
        <v/>
      </c>
      <c r="G271" s="32">
        <f>IFERROR(ROUND(MIN(10,MAX(1,D271*E271)),1),"")</f>
        <v/>
      </c>
      <c r="H271" s="30" t="n"/>
      <c r="I271" s="30" t="n"/>
      <c r="J271" s="30" t="n"/>
      <c r="K271" s="33" t="n"/>
      <c r="M271" s="33" t="n"/>
      <c r="O271" s="34" t="n"/>
      <c r="R271" s="34" t="n"/>
    </row>
    <row r="272">
      <c r="D272" s="30" t="n"/>
      <c r="E272" s="31">
        <f>IFERROR(INDEX('Channel Performance'!$H$7:$H$15,MATCH(C272,'Channel Performance'!$A$7:$A$15,0)),1)</f>
        <v/>
      </c>
      <c r="F272" s="32">
        <f>IFERROR(INDEX('Channel Performance'!$J$7:$J$15,MATCH(C272,'Channel Performance'!$A$7:$A$15,0)),"No data — pure prior")</f>
        <v/>
      </c>
      <c r="G272" s="32">
        <f>IFERROR(ROUND(MIN(10,MAX(1,D272*E272)),1),"")</f>
        <v/>
      </c>
      <c r="H272" s="30" t="n"/>
      <c r="I272" s="30" t="n"/>
      <c r="J272" s="30" t="n"/>
      <c r="K272" s="33" t="n"/>
      <c r="M272" s="33" t="n"/>
      <c r="O272" s="34" t="n"/>
      <c r="R272" s="34" t="n"/>
    </row>
    <row r="273">
      <c r="D273" s="30" t="n"/>
      <c r="E273" s="31">
        <f>IFERROR(INDEX('Channel Performance'!$H$7:$H$15,MATCH(C273,'Channel Performance'!$A$7:$A$15,0)),1)</f>
        <v/>
      </c>
      <c r="F273" s="32">
        <f>IFERROR(INDEX('Channel Performance'!$J$7:$J$15,MATCH(C273,'Channel Performance'!$A$7:$A$15,0)),"No data — pure prior")</f>
        <v/>
      </c>
      <c r="G273" s="32">
        <f>IFERROR(ROUND(MIN(10,MAX(1,D273*E273)),1),"")</f>
        <v/>
      </c>
      <c r="H273" s="30" t="n"/>
      <c r="I273" s="30" t="n"/>
      <c r="J273" s="30" t="n"/>
      <c r="K273" s="33" t="n"/>
      <c r="M273" s="33" t="n"/>
      <c r="O273" s="34" t="n"/>
      <c r="R273" s="34" t="n"/>
    </row>
    <row r="274">
      <c r="D274" s="30" t="n"/>
      <c r="E274" s="31">
        <f>IFERROR(INDEX('Channel Performance'!$H$7:$H$15,MATCH(C274,'Channel Performance'!$A$7:$A$15,0)),1)</f>
        <v/>
      </c>
      <c r="F274" s="32">
        <f>IFERROR(INDEX('Channel Performance'!$J$7:$J$15,MATCH(C274,'Channel Performance'!$A$7:$A$15,0)),"No data — pure prior")</f>
        <v/>
      </c>
      <c r="G274" s="32">
        <f>IFERROR(ROUND(MIN(10,MAX(1,D274*E274)),1),"")</f>
        <v/>
      </c>
      <c r="H274" s="30" t="n"/>
      <c r="I274" s="30" t="n"/>
      <c r="J274" s="30" t="n"/>
      <c r="K274" s="33" t="n"/>
      <c r="M274" s="33" t="n"/>
      <c r="O274" s="34" t="n"/>
      <c r="R274" s="34" t="n"/>
    </row>
    <row r="275">
      <c r="D275" s="30" t="n"/>
      <c r="E275" s="31">
        <f>IFERROR(INDEX('Channel Performance'!$H$7:$H$15,MATCH(C275,'Channel Performance'!$A$7:$A$15,0)),1)</f>
        <v/>
      </c>
      <c r="F275" s="32">
        <f>IFERROR(INDEX('Channel Performance'!$J$7:$J$15,MATCH(C275,'Channel Performance'!$A$7:$A$15,0)),"No data — pure prior")</f>
        <v/>
      </c>
      <c r="G275" s="32">
        <f>IFERROR(ROUND(MIN(10,MAX(1,D275*E275)),1),"")</f>
        <v/>
      </c>
      <c r="H275" s="30" t="n"/>
      <c r="I275" s="30" t="n"/>
      <c r="J275" s="30" t="n"/>
      <c r="K275" s="33" t="n"/>
      <c r="M275" s="33" t="n"/>
      <c r="O275" s="34" t="n"/>
      <c r="R275" s="34" t="n"/>
    </row>
    <row r="276">
      <c r="D276" s="30" t="n"/>
      <c r="E276" s="31">
        <f>IFERROR(INDEX('Channel Performance'!$H$7:$H$15,MATCH(C276,'Channel Performance'!$A$7:$A$15,0)),1)</f>
        <v/>
      </c>
      <c r="F276" s="32">
        <f>IFERROR(INDEX('Channel Performance'!$J$7:$J$15,MATCH(C276,'Channel Performance'!$A$7:$A$15,0)),"No data — pure prior")</f>
        <v/>
      </c>
      <c r="G276" s="32">
        <f>IFERROR(ROUND(MIN(10,MAX(1,D276*E276)),1),"")</f>
        <v/>
      </c>
      <c r="H276" s="30" t="n"/>
      <c r="I276" s="30" t="n"/>
      <c r="J276" s="30" t="n"/>
      <c r="K276" s="33" t="n"/>
      <c r="M276" s="33" t="n"/>
      <c r="O276" s="34" t="n"/>
      <c r="R276" s="34" t="n"/>
    </row>
    <row r="277">
      <c r="D277" s="30" t="n"/>
      <c r="E277" s="31">
        <f>IFERROR(INDEX('Channel Performance'!$H$7:$H$15,MATCH(C277,'Channel Performance'!$A$7:$A$15,0)),1)</f>
        <v/>
      </c>
      <c r="F277" s="32">
        <f>IFERROR(INDEX('Channel Performance'!$J$7:$J$15,MATCH(C277,'Channel Performance'!$A$7:$A$15,0)),"No data — pure prior")</f>
        <v/>
      </c>
      <c r="G277" s="32">
        <f>IFERROR(ROUND(MIN(10,MAX(1,D277*E277)),1),"")</f>
        <v/>
      </c>
      <c r="H277" s="30" t="n"/>
      <c r="I277" s="30" t="n"/>
      <c r="J277" s="30" t="n"/>
      <c r="K277" s="33" t="n"/>
      <c r="M277" s="33" t="n"/>
      <c r="O277" s="34" t="n"/>
      <c r="R277" s="34" t="n"/>
    </row>
    <row r="278">
      <c r="D278" s="30" t="n"/>
      <c r="E278" s="31">
        <f>IFERROR(INDEX('Channel Performance'!$H$7:$H$15,MATCH(C278,'Channel Performance'!$A$7:$A$15,0)),1)</f>
        <v/>
      </c>
      <c r="F278" s="32">
        <f>IFERROR(INDEX('Channel Performance'!$J$7:$J$15,MATCH(C278,'Channel Performance'!$A$7:$A$15,0)),"No data — pure prior")</f>
        <v/>
      </c>
      <c r="G278" s="32">
        <f>IFERROR(ROUND(MIN(10,MAX(1,D278*E278)),1),"")</f>
        <v/>
      </c>
      <c r="H278" s="30" t="n"/>
      <c r="I278" s="30" t="n"/>
      <c r="J278" s="30" t="n"/>
      <c r="K278" s="33" t="n"/>
      <c r="M278" s="33" t="n"/>
      <c r="O278" s="34" t="n"/>
      <c r="R278" s="34" t="n"/>
    </row>
    <row r="279">
      <c r="D279" s="30" t="n"/>
      <c r="E279" s="31">
        <f>IFERROR(INDEX('Channel Performance'!$H$7:$H$15,MATCH(C279,'Channel Performance'!$A$7:$A$15,0)),1)</f>
        <v/>
      </c>
      <c r="F279" s="32">
        <f>IFERROR(INDEX('Channel Performance'!$J$7:$J$15,MATCH(C279,'Channel Performance'!$A$7:$A$15,0)),"No data — pure prior")</f>
        <v/>
      </c>
      <c r="G279" s="32">
        <f>IFERROR(ROUND(MIN(10,MAX(1,D279*E279)),1),"")</f>
        <v/>
      </c>
      <c r="H279" s="30" t="n"/>
      <c r="I279" s="30" t="n"/>
      <c r="J279" s="30" t="n"/>
      <c r="K279" s="33" t="n"/>
      <c r="M279" s="33" t="n"/>
      <c r="O279" s="34" t="n"/>
      <c r="R279" s="34" t="n"/>
    </row>
    <row r="280">
      <c r="D280" s="30" t="n"/>
      <c r="E280" s="31">
        <f>IFERROR(INDEX('Channel Performance'!$H$7:$H$15,MATCH(C280,'Channel Performance'!$A$7:$A$15,0)),1)</f>
        <v/>
      </c>
      <c r="F280" s="32">
        <f>IFERROR(INDEX('Channel Performance'!$J$7:$J$15,MATCH(C280,'Channel Performance'!$A$7:$A$15,0)),"No data — pure prior")</f>
        <v/>
      </c>
      <c r="G280" s="32">
        <f>IFERROR(ROUND(MIN(10,MAX(1,D280*E280)),1),"")</f>
        <v/>
      </c>
      <c r="H280" s="30" t="n"/>
      <c r="I280" s="30" t="n"/>
      <c r="J280" s="30" t="n"/>
      <c r="K280" s="33" t="n"/>
      <c r="M280" s="33" t="n"/>
      <c r="O280" s="34" t="n"/>
      <c r="R280" s="34" t="n"/>
    </row>
    <row r="281">
      <c r="D281" s="30" t="n"/>
      <c r="E281" s="31">
        <f>IFERROR(INDEX('Channel Performance'!$H$7:$H$15,MATCH(C281,'Channel Performance'!$A$7:$A$15,0)),1)</f>
        <v/>
      </c>
      <c r="F281" s="32">
        <f>IFERROR(INDEX('Channel Performance'!$J$7:$J$15,MATCH(C281,'Channel Performance'!$A$7:$A$15,0)),"No data — pure prior")</f>
        <v/>
      </c>
      <c r="G281" s="32">
        <f>IFERROR(ROUND(MIN(10,MAX(1,D281*E281)),1),"")</f>
        <v/>
      </c>
      <c r="H281" s="30" t="n"/>
      <c r="I281" s="30" t="n"/>
      <c r="J281" s="30" t="n"/>
      <c r="K281" s="33" t="n"/>
      <c r="M281" s="33" t="n"/>
      <c r="O281" s="34" t="n"/>
      <c r="R281" s="34" t="n"/>
    </row>
    <row r="282">
      <c r="D282" s="30" t="n"/>
      <c r="E282" s="31">
        <f>IFERROR(INDEX('Channel Performance'!$H$7:$H$15,MATCH(C282,'Channel Performance'!$A$7:$A$15,0)),1)</f>
        <v/>
      </c>
      <c r="F282" s="32">
        <f>IFERROR(INDEX('Channel Performance'!$J$7:$J$15,MATCH(C282,'Channel Performance'!$A$7:$A$15,0)),"No data — pure prior")</f>
        <v/>
      </c>
      <c r="G282" s="32">
        <f>IFERROR(ROUND(MIN(10,MAX(1,D282*E282)),1),"")</f>
        <v/>
      </c>
      <c r="H282" s="30" t="n"/>
      <c r="I282" s="30" t="n"/>
      <c r="J282" s="30" t="n"/>
      <c r="K282" s="33" t="n"/>
      <c r="M282" s="33" t="n"/>
      <c r="O282" s="34" t="n"/>
      <c r="R282" s="34" t="n"/>
    </row>
    <row r="283">
      <c r="D283" s="30" t="n"/>
      <c r="E283" s="31">
        <f>IFERROR(INDEX('Channel Performance'!$H$7:$H$15,MATCH(C283,'Channel Performance'!$A$7:$A$15,0)),1)</f>
        <v/>
      </c>
      <c r="F283" s="32">
        <f>IFERROR(INDEX('Channel Performance'!$J$7:$J$15,MATCH(C283,'Channel Performance'!$A$7:$A$15,0)),"No data — pure prior")</f>
        <v/>
      </c>
      <c r="G283" s="32">
        <f>IFERROR(ROUND(MIN(10,MAX(1,D283*E283)),1),"")</f>
        <v/>
      </c>
      <c r="H283" s="30" t="n"/>
      <c r="I283" s="30" t="n"/>
      <c r="J283" s="30" t="n"/>
      <c r="K283" s="33" t="n"/>
      <c r="M283" s="33" t="n"/>
      <c r="O283" s="34" t="n"/>
      <c r="R283" s="34" t="n"/>
    </row>
    <row r="284">
      <c r="D284" s="30" t="n"/>
      <c r="E284" s="31">
        <f>IFERROR(INDEX('Channel Performance'!$H$7:$H$15,MATCH(C284,'Channel Performance'!$A$7:$A$15,0)),1)</f>
        <v/>
      </c>
      <c r="F284" s="32">
        <f>IFERROR(INDEX('Channel Performance'!$J$7:$J$15,MATCH(C284,'Channel Performance'!$A$7:$A$15,0)),"No data — pure prior")</f>
        <v/>
      </c>
      <c r="G284" s="32">
        <f>IFERROR(ROUND(MIN(10,MAX(1,D284*E284)),1),"")</f>
        <v/>
      </c>
      <c r="H284" s="30" t="n"/>
      <c r="I284" s="30" t="n"/>
      <c r="J284" s="30" t="n"/>
      <c r="K284" s="33" t="n"/>
      <c r="M284" s="33" t="n"/>
      <c r="O284" s="34" t="n"/>
      <c r="R284" s="34" t="n"/>
    </row>
    <row r="285">
      <c r="D285" s="30" t="n"/>
      <c r="E285" s="31">
        <f>IFERROR(INDEX('Channel Performance'!$H$7:$H$15,MATCH(C285,'Channel Performance'!$A$7:$A$15,0)),1)</f>
        <v/>
      </c>
      <c r="F285" s="32">
        <f>IFERROR(INDEX('Channel Performance'!$J$7:$J$15,MATCH(C285,'Channel Performance'!$A$7:$A$15,0)),"No data — pure prior")</f>
        <v/>
      </c>
      <c r="G285" s="32">
        <f>IFERROR(ROUND(MIN(10,MAX(1,D285*E285)),1),"")</f>
        <v/>
      </c>
      <c r="H285" s="30" t="n"/>
      <c r="I285" s="30" t="n"/>
      <c r="J285" s="30" t="n"/>
      <c r="K285" s="33" t="n"/>
      <c r="M285" s="33" t="n"/>
      <c r="O285" s="34" t="n"/>
      <c r="R285" s="34" t="n"/>
    </row>
    <row r="286">
      <c r="D286" s="30" t="n"/>
      <c r="E286" s="31">
        <f>IFERROR(INDEX('Channel Performance'!$H$7:$H$15,MATCH(C286,'Channel Performance'!$A$7:$A$15,0)),1)</f>
        <v/>
      </c>
      <c r="F286" s="32">
        <f>IFERROR(INDEX('Channel Performance'!$J$7:$J$15,MATCH(C286,'Channel Performance'!$A$7:$A$15,0)),"No data — pure prior")</f>
        <v/>
      </c>
      <c r="G286" s="32">
        <f>IFERROR(ROUND(MIN(10,MAX(1,D286*E286)),1),"")</f>
        <v/>
      </c>
      <c r="H286" s="30" t="n"/>
      <c r="I286" s="30" t="n"/>
      <c r="J286" s="30" t="n"/>
      <c r="K286" s="33" t="n"/>
      <c r="M286" s="33" t="n"/>
      <c r="O286" s="34" t="n"/>
      <c r="R286" s="34" t="n"/>
    </row>
    <row r="287">
      <c r="D287" s="30" t="n"/>
      <c r="E287" s="31">
        <f>IFERROR(INDEX('Channel Performance'!$H$7:$H$15,MATCH(C287,'Channel Performance'!$A$7:$A$15,0)),1)</f>
        <v/>
      </c>
      <c r="F287" s="32">
        <f>IFERROR(INDEX('Channel Performance'!$J$7:$J$15,MATCH(C287,'Channel Performance'!$A$7:$A$15,0)),"No data — pure prior")</f>
        <v/>
      </c>
      <c r="G287" s="32">
        <f>IFERROR(ROUND(MIN(10,MAX(1,D287*E287)),1),"")</f>
        <v/>
      </c>
      <c r="H287" s="30" t="n"/>
      <c r="I287" s="30" t="n"/>
      <c r="J287" s="30" t="n"/>
      <c r="K287" s="33" t="n"/>
      <c r="M287" s="33" t="n"/>
      <c r="O287" s="34" t="n"/>
      <c r="R287" s="34" t="n"/>
    </row>
    <row r="288">
      <c r="D288" s="30" t="n"/>
      <c r="E288" s="31">
        <f>IFERROR(INDEX('Channel Performance'!$H$7:$H$15,MATCH(C288,'Channel Performance'!$A$7:$A$15,0)),1)</f>
        <v/>
      </c>
      <c r="F288" s="32">
        <f>IFERROR(INDEX('Channel Performance'!$J$7:$J$15,MATCH(C288,'Channel Performance'!$A$7:$A$15,0)),"No data — pure prior")</f>
        <v/>
      </c>
      <c r="G288" s="32">
        <f>IFERROR(ROUND(MIN(10,MAX(1,D288*E288)),1),"")</f>
        <v/>
      </c>
      <c r="H288" s="30" t="n"/>
      <c r="I288" s="30" t="n"/>
      <c r="J288" s="30" t="n"/>
      <c r="K288" s="33" t="n"/>
      <c r="M288" s="33" t="n"/>
      <c r="O288" s="34" t="n"/>
      <c r="R288" s="34" t="n"/>
    </row>
    <row r="289">
      <c r="D289" s="30" t="n"/>
      <c r="E289" s="31">
        <f>IFERROR(INDEX('Channel Performance'!$H$7:$H$15,MATCH(C289,'Channel Performance'!$A$7:$A$15,0)),1)</f>
        <v/>
      </c>
      <c r="F289" s="32">
        <f>IFERROR(INDEX('Channel Performance'!$J$7:$J$15,MATCH(C289,'Channel Performance'!$A$7:$A$15,0)),"No data — pure prior")</f>
        <v/>
      </c>
      <c r="G289" s="32">
        <f>IFERROR(ROUND(MIN(10,MAX(1,D289*E289)),1),"")</f>
        <v/>
      </c>
      <c r="H289" s="30" t="n"/>
      <c r="I289" s="30" t="n"/>
      <c r="J289" s="30" t="n"/>
      <c r="K289" s="33" t="n"/>
      <c r="M289" s="33" t="n"/>
      <c r="O289" s="34" t="n"/>
      <c r="R289" s="34" t="n"/>
    </row>
    <row r="290">
      <c r="D290" s="30" t="n"/>
      <c r="E290" s="31">
        <f>IFERROR(INDEX('Channel Performance'!$H$7:$H$15,MATCH(C290,'Channel Performance'!$A$7:$A$15,0)),1)</f>
        <v/>
      </c>
      <c r="F290" s="32">
        <f>IFERROR(INDEX('Channel Performance'!$J$7:$J$15,MATCH(C290,'Channel Performance'!$A$7:$A$15,0)),"No data — pure prior")</f>
        <v/>
      </c>
      <c r="G290" s="32">
        <f>IFERROR(ROUND(MIN(10,MAX(1,D290*E290)),1),"")</f>
        <v/>
      </c>
      <c r="H290" s="30" t="n"/>
      <c r="I290" s="30" t="n"/>
      <c r="J290" s="30" t="n"/>
      <c r="K290" s="33" t="n"/>
      <c r="M290" s="33" t="n"/>
      <c r="O290" s="34" t="n"/>
      <c r="R290" s="34" t="n"/>
    </row>
    <row r="291">
      <c r="D291" s="30" t="n"/>
      <c r="E291" s="31">
        <f>IFERROR(INDEX('Channel Performance'!$H$7:$H$15,MATCH(C291,'Channel Performance'!$A$7:$A$15,0)),1)</f>
        <v/>
      </c>
      <c r="F291" s="32">
        <f>IFERROR(INDEX('Channel Performance'!$J$7:$J$15,MATCH(C291,'Channel Performance'!$A$7:$A$15,0)),"No data — pure prior")</f>
        <v/>
      </c>
      <c r="G291" s="32">
        <f>IFERROR(ROUND(MIN(10,MAX(1,D291*E291)),1),"")</f>
        <v/>
      </c>
      <c r="H291" s="30" t="n"/>
      <c r="I291" s="30" t="n"/>
      <c r="J291" s="30" t="n"/>
      <c r="K291" s="33" t="n"/>
      <c r="M291" s="33" t="n"/>
      <c r="O291" s="34" t="n"/>
      <c r="R291" s="34" t="n"/>
    </row>
    <row r="292">
      <c r="D292" s="30" t="n"/>
      <c r="E292" s="31">
        <f>IFERROR(INDEX('Channel Performance'!$H$7:$H$15,MATCH(C292,'Channel Performance'!$A$7:$A$15,0)),1)</f>
        <v/>
      </c>
      <c r="F292" s="32">
        <f>IFERROR(INDEX('Channel Performance'!$J$7:$J$15,MATCH(C292,'Channel Performance'!$A$7:$A$15,0)),"No data — pure prior")</f>
        <v/>
      </c>
      <c r="G292" s="32">
        <f>IFERROR(ROUND(MIN(10,MAX(1,D292*E292)),1),"")</f>
        <v/>
      </c>
      <c r="H292" s="30" t="n"/>
      <c r="I292" s="30" t="n"/>
      <c r="J292" s="30" t="n"/>
      <c r="K292" s="33" t="n"/>
      <c r="M292" s="33" t="n"/>
      <c r="O292" s="34" t="n"/>
      <c r="R292" s="34" t="n"/>
    </row>
    <row r="293">
      <c r="D293" s="30" t="n"/>
      <c r="E293" s="31">
        <f>IFERROR(INDEX('Channel Performance'!$H$7:$H$15,MATCH(C293,'Channel Performance'!$A$7:$A$15,0)),1)</f>
        <v/>
      </c>
      <c r="F293" s="32">
        <f>IFERROR(INDEX('Channel Performance'!$J$7:$J$15,MATCH(C293,'Channel Performance'!$A$7:$A$15,0)),"No data — pure prior")</f>
        <v/>
      </c>
      <c r="G293" s="32">
        <f>IFERROR(ROUND(MIN(10,MAX(1,D293*E293)),1),"")</f>
        <v/>
      </c>
      <c r="H293" s="30" t="n"/>
      <c r="I293" s="30" t="n"/>
      <c r="J293" s="30" t="n"/>
      <c r="K293" s="33" t="n"/>
      <c r="M293" s="33" t="n"/>
      <c r="O293" s="34" t="n"/>
      <c r="R293" s="34" t="n"/>
    </row>
    <row r="294">
      <c r="D294" s="30" t="n"/>
      <c r="E294" s="31">
        <f>IFERROR(INDEX('Channel Performance'!$H$7:$H$15,MATCH(C294,'Channel Performance'!$A$7:$A$15,0)),1)</f>
        <v/>
      </c>
      <c r="F294" s="32">
        <f>IFERROR(INDEX('Channel Performance'!$J$7:$J$15,MATCH(C294,'Channel Performance'!$A$7:$A$15,0)),"No data — pure prior")</f>
        <v/>
      </c>
      <c r="G294" s="32">
        <f>IFERROR(ROUND(MIN(10,MAX(1,D294*E294)),1),"")</f>
        <v/>
      </c>
      <c r="H294" s="30" t="n"/>
      <c r="I294" s="30" t="n"/>
      <c r="J294" s="30" t="n"/>
      <c r="K294" s="33" t="n"/>
      <c r="M294" s="33" t="n"/>
      <c r="O294" s="34" t="n"/>
      <c r="R294" s="34" t="n"/>
    </row>
    <row r="295">
      <c r="D295" s="30" t="n"/>
      <c r="E295" s="31">
        <f>IFERROR(INDEX('Channel Performance'!$H$7:$H$15,MATCH(C295,'Channel Performance'!$A$7:$A$15,0)),1)</f>
        <v/>
      </c>
      <c r="F295" s="32">
        <f>IFERROR(INDEX('Channel Performance'!$J$7:$J$15,MATCH(C295,'Channel Performance'!$A$7:$A$15,0)),"No data — pure prior")</f>
        <v/>
      </c>
      <c r="G295" s="32">
        <f>IFERROR(ROUND(MIN(10,MAX(1,D295*E295)),1),"")</f>
        <v/>
      </c>
      <c r="H295" s="30" t="n"/>
      <c r="I295" s="30" t="n"/>
      <c r="J295" s="30" t="n"/>
      <c r="K295" s="33" t="n"/>
      <c r="M295" s="33" t="n"/>
      <c r="O295" s="34" t="n"/>
      <c r="R295" s="34" t="n"/>
    </row>
    <row r="296">
      <c r="D296" s="30" t="n"/>
      <c r="E296" s="31">
        <f>IFERROR(INDEX('Channel Performance'!$H$7:$H$15,MATCH(C296,'Channel Performance'!$A$7:$A$15,0)),1)</f>
        <v/>
      </c>
      <c r="F296" s="32">
        <f>IFERROR(INDEX('Channel Performance'!$J$7:$J$15,MATCH(C296,'Channel Performance'!$A$7:$A$15,0)),"No data — pure prior")</f>
        <v/>
      </c>
      <c r="G296" s="32">
        <f>IFERROR(ROUND(MIN(10,MAX(1,D296*E296)),1),"")</f>
        <v/>
      </c>
      <c r="H296" s="30" t="n"/>
      <c r="I296" s="30" t="n"/>
      <c r="J296" s="30" t="n"/>
      <c r="K296" s="33" t="n"/>
      <c r="M296" s="33" t="n"/>
      <c r="O296" s="34" t="n"/>
      <c r="R296" s="34" t="n"/>
    </row>
    <row r="297">
      <c r="D297" s="30" t="n"/>
      <c r="E297" s="31">
        <f>IFERROR(INDEX('Channel Performance'!$H$7:$H$15,MATCH(C297,'Channel Performance'!$A$7:$A$15,0)),1)</f>
        <v/>
      </c>
      <c r="F297" s="32">
        <f>IFERROR(INDEX('Channel Performance'!$J$7:$J$15,MATCH(C297,'Channel Performance'!$A$7:$A$15,0)),"No data — pure prior")</f>
        <v/>
      </c>
      <c r="G297" s="32">
        <f>IFERROR(ROUND(MIN(10,MAX(1,D297*E297)),1),"")</f>
        <v/>
      </c>
      <c r="H297" s="30" t="n"/>
      <c r="I297" s="30" t="n"/>
      <c r="J297" s="30" t="n"/>
      <c r="K297" s="33" t="n"/>
      <c r="M297" s="33" t="n"/>
      <c r="O297" s="34" t="n"/>
      <c r="R297" s="34" t="n"/>
    </row>
    <row r="298">
      <c r="D298" s="30" t="n"/>
      <c r="E298" s="31">
        <f>IFERROR(INDEX('Channel Performance'!$H$7:$H$15,MATCH(C298,'Channel Performance'!$A$7:$A$15,0)),1)</f>
        <v/>
      </c>
      <c r="F298" s="32">
        <f>IFERROR(INDEX('Channel Performance'!$J$7:$J$15,MATCH(C298,'Channel Performance'!$A$7:$A$15,0)),"No data — pure prior")</f>
        <v/>
      </c>
      <c r="G298" s="32">
        <f>IFERROR(ROUND(MIN(10,MAX(1,D298*E298)),1),"")</f>
        <v/>
      </c>
      <c r="H298" s="30" t="n"/>
      <c r="I298" s="30" t="n"/>
      <c r="J298" s="30" t="n"/>
      <c r="K298" s="33" t="n"/>
      <c r="M298" s="33" t="n"/>
      <c r="O298" s="34" t="n"/>
      <c r="R298" s="34" t="n"/>
    </row>
    <row r="299">
      <c r="D299" s="30" t="n"/>
      <c r="E299" s="31">
        <f>IFERROR(INDEX('Channel Performance'!$H$7:$H$15,MATCH(C299,'Channel Performance'!$A$7:$A$15,0)),1)</f>
        <v/>
      </c>
      <c r="F299" s="32">
        <f>IFERROR(INDEX('Channel Performance'!$J$7:$J$15,MATCH(C299,'Channel Performance'!$A$7:$A$15,0)),"No data — pure prior")</f>
        <v/>
      </c>
      <c r="G299" s="32">
        <f>IFERROR(ROUND(MIN(10,MAX(1,D299*E299)),1),"")</f>
        <v/>
      </c>
      <c r="H299" s="30" t="n"/>
      <c r="I299" s="30" t="n"/>
      <c r="J299" s="30" t="n"/>
      <c r="K299" s="33" t="n"/>
      <c r="M299" s="33" t="n"/>
      <c r="O299" s="34" t="n"/>
      <c r="R299" s="34" t="n"/>
    </row>
    <row r="300">
      <c r="D300" s="30" t="n"/>
      <c r="E300" s="31">
        <f>IFERROR(INDEX('Channel Performance'!$H$7:$H$15,MATCH(C300,'Channel Performance'!$A$7:$A$15,0)),1)</f>
        <v/>
      </c>
      <c r="F300" s="32">
        <f>IFERROR(INDEX('Channel Performance'!$J$7:$J$15,MATCH(C300,'Channel Performance'!$A$7:$A$15,0)),"No data — pure prior")</f>
        <v/>
      </c>
      <c r="G300" s="32">
        <f>IFERROR(ROUND(MIN(10,MAX(1,D300*E300)),1),"")</f>
        <v/>
      </c>
      <c r="H300" s="30" t="n"/>
      <c r="I300" s="30" t="n"/>
      <c r="J300" s="30" t="n"/>
      <c r="K300" s="33" t="n"/>
      <c r="M300" s="33" t="n"/>
      <c r="O300" s="34" t="n"/>
      <c r="R300" s="34" t="n"/>
    </row>
  </sheetData>
  <mergeCells count="2">
    <mergeCell ref="A2:S2"/>
    <mergeCell ref="A1:S1"/>
  </mergeCells>
  <dataValidations count="3">
    <dataValidation sqref="B6:B300" showDropDown="0" showInputMessage="0" showErrorMessage="0" allowBlank="1" type="list">
      <formula1>"1,2,3"</formula1>
    </dataValidation>
    <dataValidation sqref="C6:C300" showDropDown="0" showInputMessage="0" showErrorMessage="0" allowBlank="1" type="list">
      <formula1>"Property Mgmt,CRE Broker,MSP,TI Electrical/GC,Platform,Bid Board,Vendor Program,DC Integrator/Staffing,Association/Networking"</formula1>
    </dataValidation>
    <dataValidation sqref="P6:P300" showDropDown="0" showInputMessage="0" showErrorMessage="0" allowBlank="1" type="list">
      <formula1>"Not Contacted,Contacted,Follow-up Scheduled,Quoted,Won,Lost"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30" customWidth="1" min="4" max="4"/>
    <col width="46" customWidth="1" min="5" max="5"/>
  </cols>
  <sheetData>
    <row r="1">
      <c r="A1" s="1" t="inlineStr">
        <is>
          <t>Weekly Call Rotation</t>
        </is>
      </c>
    </row>
    <row r="2" ht="30" customHeight="1">
      <c r="A2" s="5" t="inlineStr">
        <is>
          <t>10 calls/week minimum. Starting weights below match the Channel Performance priors — revisit monthly against that tab's actual Multipliers as real data accumulates.</t>
        </is>
      </c>
    </row>
    <row r="4">
      <c r="A4" s="7" t="inlineStr">
        <is>
          <t>Day</t>
        </is>
      </c>
      <c r="B4" s="7" t="inlineStr">
        <is>
          <t>Calls</t>
        </is>
      </c>
      <c r="C4" s="7" t="inlineStr">
        <is>
          <t>Primary Channel</t>
        </is>
      </c>
      <c r="D4" s="7" t="inlineStr">
        <is>
          <t>Secondary / Backup</t>
        </is>
      </c>
      <c r="E4" s="7" t="inlineStr">
        <is>
          <t>Why this day</t>
        </is>
      </c>
    </row>
    <row r="5" ht="42" customHeight="1">
      <c r="A5" s="12" t="inlineStr">
        <is>
          <t>Monday</t>
        </is>
      </c>
      <c r="B5" s="12" t="n">
        <v>3</v>
      </c>
      <c r="C5" s="12" t="inlineStr">
        <is>
          <t>Property Managers</t>
        </is>
      </c>
      <c r="D5" s="12" t="inlineStr">
        <is>
          <t>CRE Brokers</t>
        </is>
      </c>
      <c r="E5" s="12" t="inlineStr">
        <is>
          <t>Start the week on the highest-value recurring channel — TI/MAC work from repositioning buildings.</t>
        </is>
      </c>
    </row>
    <row r="6" ht="42" customHeight="1">
      <c r="A6" s="15" t="inlineStr">
        <is>
          <t>Tuesday</t>
        </is>
      </c>
      <c r="B6" s="15" t="n">
        <v>3</v>
      </c>
      <c r="C6" s="15" t="inlineStr">
        <is>
          <t>MSPs</t>
        </is>
      </c>
      <c r="D6" s="15" t="inlineStr">
        <is>
          <t>Vendor Programs</t>
        </is>
      </c>
      <c r="E6" s="15" t="inlineStr">
        <is>
          <t>MSPs convert fastest into repeat sub relationships — call while the week is fresh for them too.</t>
        </is>
      </c>
    </row>
    <row r="7" ht="42" customHeight="1">
      <c r="A7" s="12" t="inlineStr">
        <is>
          <t>Wednesday</t>
        </is>
      </c>
      <c r="B7" s="12" t="n">
        <v>2</v>
      </c>
      <c r="C7" s="12" t="inlineStr">
        <is>
          <t>TI Electrical / GC contacts</t>
        </is>
      </c>
      <c r="D7" s="12" t="inlineStr">
        <is>
          <t>Property Managers (follow-up)</t>
        </is>
      </c>
      <c r="E7" s="12" t="inlineStr">
        <is>
          <t>Electrical contractors sub out low-voltage on the TI jobs the office market is generating right now.</t>
        </is>
      </c>
    </row>
    <row r="8" ht="42" customHeight="1">
      <c r="A8" s="15" t="inlineStr">
        <is>
          <t>Thursday</t>
        </is>
      </c>
      <c r="B8" s="15" t="n">
        <v>1</v>
      </c>
      <c r="C8" s="15" t="inlineStr">
        <is>
          <t>CRE Brokers</t>
        </is>
      </c>
      <c r="D8" s="15" t="inlineStr">
        <is>
          <t>Association/Networking (BOMA/IREM) or DC Integrator/Staffing</t>
        </is>
      </c>
      <c r="E8" s="15" t="inlineStr">
        <is>
          <t>Brokers for repositioning intel; alternate weeks between chasing BOMA/IREM membership+events (a room full of Tier 1 buyers) and one Tier-3 relationship call to keep the Year 2 data-center pipeline warm.</t>
        </is>
      </c>
    </row>
    <row r="9" ht="42" customHeight="1">
      <c r="A9" s="12" t="inlineStr">
        <is>
          <t>Friday</t>
        </is>
      </c>
      <c r="B9" s="12" t="n">
        <v>1</v>
      </c>
      <c r="C9" s="12" t="inlineStr">
        <is>
          <t>Warmest open follow-up</t>
        </is>
      </c>
      <c r="D9" s="12" t="inlineStr">
        <is>
          <t>Admin: bid board registration/monitoring, update Pipeline &amp; Dashboard</t>
        </is>
      </c>
      <c r="E9" s="12" t="inlineStr">
        <is>
          <t>Close the loop on anyone warm; keep the system itself current so Channel Performance has real data to work with.</t>
        </is>
      </c>
    </row>
    <row r="12">
      <c r="A12" s="3" t="inlineStr">
        <is>
          <t>Total</t>
        </is>
      </c>
      <c r="B12" s="35">
        <f>SUM(B5:B9)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2026-08-13T00:01:43Z</dcterms:created>
  <dcterms:modified xmlns:dcterms="http://purl.org/dc/terms/" xmlns:xsi="http://www.w3.org/2001/XMLSchema-instance" xsi:type="dcterms:W3CDTF">2026-08-13T00:01:43Z</dcterms:modified>
</cp:coreProperties>
</file>